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5"/>
    <sheet state="visible" name="Dashboard" sheetId="2" r:id="rId6"/>
    <sheet state="visible" name="Customers" sheetId="3" r:id="rId7"/>
    <sheet state="visible" name="Work Orders" sheetId="4" r:id="rId8"/>
    <sheet state="visible" name="Enquiries" sheetId="5" r:id="rId9"/>
    <sheet state="visible" name="Employees" sheetId="6" r:id="rId10"/>
    <sheet state="visible" name="Invoices" sheetId="7" r:id="rId11"/>
    <sheet state="visible" name="Settings" sheetId="8" r:id="rId12"/>
  </sheets>
  <definedNames>
    <definedName name="EnquiryIDs">#REF!</definedName>
  </definedNames>
  <calcPr/>
</workbook>
</file>

<file path=xl/sharedStrings.xml><?xml version="1.0" encoding="utf-8"?>
<sst xmlns="http://schemas.openxmlformats.org/spreadsheetml/2006/main" count="887" uniqueCount="400">
  <si>
    <t>Timestamp</t>
  </si>
  <si>
    <t>Customer ID</t>
  </si>
  <si>
    <t>Full Name</t>
  </si>
  <si>
    <t>Name</t>
  </si>
  <si>
    <t>Phone Number</t>
  </si>
  <si>
    <t>Email</t>
  </si>
  <si>
    <t>Phone number</t>
  </si>
  <si>
    <t>Address</t>
  </si>
  <si>
    <t>What service are you looking for?</t>
  </si>
  <si>
    <t>First Contact Date</t>
  </si>
  <si>
    <t>Describe your problem</t>
  </si>
  <si>
    <t>When do you need assistance</t>
  </si>
  <si>
    <t>Preferred Contact Method</t>
  </si>
  <si>
    <t>CST001</t>
  </si>
  <si>
    <t>Andy Star</t>
  </si>
  <si>
    <t>8253650001</t>
  </si>
  <si>
    <t>astar@gmail.com</t>
  </si>
  <si>
    <t>1 Rock Street, Calgary</t>
  </si>
  <si>
    <t>Toilet issues</t>
  </si>
  <si>
    <t>Toilet won't flush</t>
  </si>
  <si>
    <t>Within 2-3 days</t>
  </si>
  <si>
    <t>Work Order ID</t>
  </si>
  <si>
    <t>Phone</t>
  </si>
  <si>
    <t>Yannick Brant</t>
  </si>
  <si>
    <t>ybrant@gmail.com</t>
  </si>
  <si>
    <t>125 Diamond Way, Calgary</t>
  </si>
  <si>
    <t>Quote Request</t>
  </si>
  <si>
    <t>Enquiry ID</t>
  </si>
  <si>
    <t>CST002</t>
  </si>
  <si>
    <t>How much would it be to install a new boiling tap</t>
  </si>
  <si>
    <t>Just looking for a quote</t>
  </si>
  <si>
    <t>8253650002</t>
  </si>
  <si>
    <t>Employee ID</t>
  </si>
  <si>
    <t>Brandon Green</t>
  </si>
  <si>
    <t>bgreen@gmail.com</t>
  </si>
  <si>
    <t>Employee Name</t>
  </si>
  <si>
    <t>99 West Boulevard, Calgary</t>
  </si>
  <si>
    <t>Installation</t>
  </si>
  <si>
    <t>Customer Name</t>
  </si>
  <si>
    <t>Purchased a new boiler and need it installed</t>
  </si>
  <si>
    <t>CST003</t>
  </si>
  <si>
    <t>Flexible</t>
  </si>
  <si>
    <t>8253653003</t>
  </si>
  <si>
    <t>Estimated Cost</t>
  </si>
  <si>
    <t>Blocked Drain</t>
  </si>
  <si>
    <t>Status</t>
  </si>
  <si>
    <t>Shower drain is blocked</t>
  </si>
  <si>
    <t>Within a week</t>
  </si>
  <si>
    <t>Frank Green</t>
  </si>
  <si>
    <t>CST004</t>
  </si>
  <si>
    <t>Priority</t>
  </si>
  <si>
    <t>fgreen@gmail.com</t>
  </si>
  <si>
    <t>56 Tinker Street, Calgary</t>
  </si>
  <si>
    <t>8253653080</t>
  </si>
  <si>
    <t>Accepted Date</t>
  </si>
  <si>
    <t>General Plumbing</t>
  </si>
  <si>
    <t>Kitchen sink has burst, water is everywhere</t>
  </si>
  <si>
    <t>Today</t>
  </si>
  <si>
    <t>AI Summary</t>
  </si>
  <si>
    <t>Customer Preferred Date</t>
  </si>
  <si>
    <t>Harry Bean</t>
  </si>
  <si>
    <t>Scheduled Date/Time</t>
  </si>
  <si>
    <t>hbean@gmail.com</t>
  </si>
  <si>
    <t>CST005</t>
  </si>
  <si>
    <t>78 Record Lane, Calgary</t>
  </si>
  <si>
    <t>Estimated Duration</t>
  </si>
  <si>
    <t>Want to install our new shower head</t>
  </si>
  <si>
    <t>8253653007</t>
  </si>
  <si>
    <t>Calendar Event ID</t>
  </si>
  <si>
    <t>Completed Date</t>
  </si>
  <si>
    <t>Albert Test</t>
  </si>
  <si>
    <t>Enquiry Outcome Date</t>
  </si>
  <si>
    <t>atest@gmail.com</t>
  </si>
  <si>
    <t>1564 South Boardwalk, Calgary</t>
  </si>
  <si>
    <t>Employee Notes</t>
  </si>
  <si>
    <t>Leak</t>
  </si>
  <si>
    <t>Shower tap is leaking</t>
  </si>
  <si>
    <t>Customer Email Sent</t>
  </si>
  <si>
    <t>CST006</t>
  </si>
  <si>
    <t>WO0001</t>
  </si>
  <si>
    <t>8253658888</t>
  </si>
  <si>
    <t>dh23travels@gmail.com</t>
  </si>
  <si>
    <t>EN0001</t>
  </si>
  <si>
    <t>Unassigned</t>
  </si>
  <si>
    <t>CST007</t>
  </si>
  <si>
    <t>Sophie Bennett</t>
  </si>
  <si>
    <t>8255550107</t>
  </si>
  <si>
    <t>sophie.bennett@example.com</t>
  </si>
  <si>
    <t>42 Aspen Grove, Calgary</t>
  </si>
  <si>
    <t>CST008</t>
  </si>
  <si>
    <t>Liam O'Connor</t>
  </si>
  <si>
    <t>Enquiry Date</t>
  </si>
  <si>
    <t>8255550108</t>
  </si>
  <si>
    <t>Service Type</t>
  </si>
  <si>
    <t>liam.oconnor@example.com</t>
  </si>
  <si>
    <t>Description</t>
  </si>
  <si>
    <t>Customer Requested Timeframe</t>
  </si>
  <si>
    <t>Preferred Contact Type</t>
  </si>
  <si>
    <t>118 10th Avenue SW, Calgary</t>
  </si>
  <si>
    <t>Quoted Date</t>
  </si>
  <si>
    <t>CST009</t>
  </si>
  <si>
    <t>Outcome Date</t>
  </si>
  <si>
    <t>Maya Patel</t>
  </si>
  <si>
    <t>Outcome</t>
  </si>
  <si>
    <t>8255550109</t>
  </si>
  <si>
    <t>Notes</t>
  </si>
  <si>
    <t>maya.patel@example.com</t>
  </si>
  <si>
    <t>AI Priority</t>
  </si>
  <si>
    <t>AI Category</t>
  </si>
  <si>
    <t>77 Riverstone Road, Calgary</t>
  </si>
  <si>
    <t>CST010</t>
  </si>
  <si>
    <t>Ethan Brooks</t>
  </si>
  <si>
    <t>8255550110</t>
  </si>
  <si>
    <t>ethan.brooks@example.com</t>
  </si>
  <si>
    <t>Todo</t>
  </si>
  <si>
    <t>Converted</t>
  </si>
  <si>
    <t>205 Cedar Crescent, Calgary</t>
  </si>
  <si>
    <t>Toilet is not flushing; customer requested service within 2-3 days.</t>
  </si>
  <si>
    <t>Toilet Repair</t>
  </si>
  <si>
    <t>CST011</t>
  </si>
  <si>
    <t>Chloe Martin</t>
  </si>
  <si>
    <t>8255550111</t>
  </si>
  <si>
    <t>chloe.martin@example.com</t>
  </si>
  <si>
    <t>16 Parkview Terrace, Calgary</t>
  </si>
  <si>
    <t>CST012</t>
  </si>
  <si>
    <t>Noah Wilson</t>
  </si>
  <si>
    <t>8255550112</t>
  </si>
  <si>
    <t>noah.wilson@example.com</t>
  </si>
  <si>
    <t>FALSE</t>
  </si>
  <si>
    <t>340 Heritage Drive SE, Calgary</t>
  </si>
  <si>
    <t>EN0002</t>
  </si>
  <si>
    <t>CST013</t>
  </si>
  <si>
    <t>Ava Thompson</t>
  </si>
  <si>
    <t>8255550113</t>
  </si>
  <si>
    <t>ava.thompson@example.com</t>
  </si>
  <si>
    <t>89 Glenmore Place, Calgary</t>
  </si>
  <si>
    <t>WO0002</t>
  </si>
  <si>
    <t>Request for a price quote to install a new boiling water tap.</t>
  </si>
  <si>
    <t>CST014</t>
  </si>
  <si>
    <t>Lucas Nguyen</t>
  </si>
  <si>
    <t>Tap Installation</t>
  </si>
  <si>
    <t>8255550114</t>
  </si>
  <si>
    <t>lucas.nguyen@example.com</t>
  </si>
  <si>
    <t>512 Centre Street N, Calgary</t>
  </si>
  <si>
    <t>CST015</t>
  </si>
  <si>
    <t>Grace Campbell</t>
  </si>
  <si>
    <t>8255550115</t>
  </si>
  <si>
    <t>grace.campbell@example.com</t>
  </si>
  <si>
    <t>33 Evergreen Way, Calgary</t>
  </si>
  <si>
    <t>CST016</t>
  </si>
  <si>
    <t>Oliver Reed</t>
  </si>
  <si>
    <t>8255550116</t>
  </si>
  <si>
    <t>oliver.reed@example.com</t>
  </si>
  <si>
    <t>144 Kensington Road NW, Calgary</t>
  </si>
  <si>
    <t>CST017</t>
  </si>
  <si>
    <t>Emily Foster</t>
  </si>
  <si>
    <t>EN0003</t>
  </si>
  <si>
    <t>8255550117</t>
  </si>
  <si>
    <t>EP004</t>
  </si>
  <si>
    <t>emily.foster@example.com</t>
  </si>
  <si>
    <t>27 Sunridge Court NE, Calgary</t>
  </si>
  <si>
    <t>CST018</t>
  </si>
  <si>
    <t>Daniel Kim</t>
  </si>
  <si>
    <t>8255550118</t>
  </si>
  <si>
    <t>Closed</t>
  </si>
  <si>
    <t>daniel.kim@example.com</t>
  </si>
  <si>
    <t>Installation of a customer-purchased new boiler with a flexible timeframe.</t>
  </si>
  <si>
    <t>601 Macleod Trail SE, Calgary</t>
  </si>
  <si>
    <t>Boiler Installation</t>
  </si>
  <si>
    <t>Assigned</t>
  </si>
  <si>
    <t>EN0004</t>
  </si>
  <si>
    <t>Quoted</t>
  </si>
  <si>
    <t>Blocked shower drain, customer requested service within a week.</t>
  </si>
  <si>
    <t>Drainage</t>
  </si>
  <si>
    <t>EN0005</t>
  </si>
  <si>
    <t>5ceeoedonfsbmjkb7mpregelt4</t>
  </si>
  <si>
    <t>WO0003</t>
  </si>
  <si>
    <t>Burst kitchen sink causing active flooding, urgent assistance requested today.</t>
  </si>
  <si>
    <t>Emergency Plumbing</t>
  </si>
  <si>
    <t>EN0006</t>
  </si>
  <si>
    <t>New</t>
  </si>
  <si>
    <t>Installation of a new customer-provided shower head with flexible scheduling.</t>
  </si>
  <si>
    <t>Fixture Installation</t>
  </si>
  <si>
    <t>EN0007</t>
  </si>
  <si>
    <t>Installation of a new customer-provided shower head with a flexible timeframe.</t>
  </si>
  <si>
    <t>EP001</t>
  </si>
  <si>
    <t>EN0008</t>
  </si>
  <si>
    <t>WO0004</t>
  </si>
  <si>
    <t>Leaking shower tap, customer requested repair within 2-3 days.</t>
  </si>
  <si>
    <t>Plumbing Repair</t>
  </si>
  <si>
    <t>EN0009</t>
  </si>
  <si>
    <t>Kitchen tap dripping continuously</t>
  </si>
  <si>
    <t>WO0005</t>
  </si>
  <si>
    <t>Accepted</t>
  </si>
  <si>
    <t>Quote approved</t>
  </si>
  <si>
    <t>Leaking kitchen tap requiring repair within one week.</t>
  </si>
  <si>
    <t>In Progress</t>
  </si>
  <si>
    <t>EN0010</t>
  </si>
  <si>
    <t>Bathroom sink draining very slowly</t>
  </si>
  <si>
    <t>16fh35p2d6pdnpg5rdjbp1kbgs</t>
  </si>
  <si>
    <t>WO0006</t>
  </si>
  <si>
    <t>Slow bathroom sink drainage requiring near-term service.</t>
  </si>
  <si>
    <t>EN0011</t>
  </si>
  <si>
    <t>Need new dishwasher connected</t>
  </si>
  <si>
    <t>WO0007</t>
  </si>
  <si>
    <t>Customer requires dishwasher plumbing connection with flexible timing.</t>
  </si>
  <si>
    <t>Appliance Installation</t>
  </si>
  <si>
    <t>EP006</t>
  </si>
  <si>
    <t>EN0012</t>
  </si>
  <si>
    <t>Low water pressure throughout house</t>
  </si>
  <si>
    <t>Waiting for customer decision</t>
  </si>
  <si>
    <t>Low water pressure affecting multiple fixtures; assessment requested.</t>
  </si>
  <si>
    <t>Completed</t>
  </si>
  <si>
    <t>EN0013</t>
  </si>
  <si>
    <t>Leaking shower tap requiring attention within 2-3 days.</t>
  </si>
  <si>
    <t>Boiler pipe has a small leak</t>
  </si>
  <si>
    <t>WO0008</t>
  </si>
  <si>
    <t>bdhec6cbd5umii5bn8mjjndcso</t>
  </si>
  <si>
    <t>Returning customer</t>
  </si>
  <si>
    <t>Small boiler pipe leak; returning customer requests prompt repair.</t>
  </si>
  <si>
    <t>Boiler Repair</t>
  </si>
  <si>
    <t>TRUE</t>
  </si>
  <si>
    <t>EN0014</t>
  </si>
  <si>
    <t>Toilet keeps running after flushing</t>
  </si>
  <si>
    <t>WO0009</t>
  </si>
  <si>
    <t>Running toilet likely requiring valve or cistern repair.</t>
  </si>
  <si>
    <t>EN0015</t>
  </si>
  <si>
    <t>Replace bathroom vanity and taps</t>
  </si>
  <si>
    <t>EP002</t>
  </si>
  <si>
    <t>Maria T</t>
  </si>
  <si>
    <t>Quote sent</t>
  </si>
  <si>
    <t>Bathroom vanity and tap replacement requested with flexible timing.</t>
  </si>
  <si>
    <t>EN0016</t>
  </si>
  <si>
    <t>Water leaking through ceiling below bathroom</t>
  </si>
  <si>
    <t>WO0010</t>
  </si>
  <si>
    <t>Urgent callout</t>
  </si>
  <si>
    <t>DEMO-WO0005</t>
  </si>
  <si>
    <t>Active ceiling leak below bathroom requiring emergency attendance.</t>
  </si>
  <si>
    <t>Replaced worn cartridge</t>
  </si>
  <si>
    <t>EN0017</t>
  </si>
  <si>
    <t>Quote for replacing hot water tank</t>
  </si>
  <si>
    <t>Customer requests quote to replace existing hot water tank.</t>
  </si>
  <si>
    <t>EP003</t>
  </si>
  <si>
    <t>EN0018</t>
  </si>
  <si>
    <t>Landon R</t>
  </si>
  <si>
    <t>Kitchen drain backing up again</t>
  </si>
  <si>
    <t>WO0011</t>
  </si>
  <si>
    <t>Recurring blocked kitchen drain requiring same-day service.</t>
  </si>
  <si>
    <t>DEMO-WO0006</t>
  </si>
  <si>
    <t>EN0019</t>
  </si>
  <si>
    <t>Outdoor faucet leaking at connection</t>
  </si>
  <si>
    <t>Cleared trap and branch line</t>
  </si>
  <si>
    <t>Outdoor faucet leak reported; service requested within one week.</t>
  </si>
  <si>
    <t>EN0020</t>
  </si>
  <si>
    <t>Install water filter under kitchen sink</t>
  </si>
  <si>
    <t>WO0012</t>
  </si>
  <si>
    <t>EP005</t>
  </si>
  <si>
    <t>Under-sink water filter installation requested.</t>
  </si>
  <si>
    <t>John S</t>
  </si>
  <si>
    <t>EN0021</t>
  </si>
  <si>
    <t>Radiator making knocking noise</t>
  </si>
  <si>
    <t>DEMO-WO0007</t>
  </si>
  <si>
    <t>Second enquiry</t>
  </si>
  <si>
    <t>Returning customer reports noisy radiator requiring inspection.</t>
  </si>
  <si>
    <t>Installed valve and connected dishwasher</t>
  </si>
  <si>
    <t>EN0022</t>
  </si>
  <si>
    <t>Pipe under sink burst this morning</t>
  </si>
  <si>
    <t>WO0013</t>
  </si>
  <si>
    <t>Emergency</t>
  </si>
  <si>
    <t>Burst pipe under sink requiring immediate repair.</t>
  </si>
  <si>
    <t>EP007</t>
  </si>
  <si>
    <t>EN0023</t>
  </si>
  <si>
    <t>Greg G</t>
  </si>
  <si>
    <t>Toilet blocked and plunger not working</t>
  </si>
  <si>
    <t>WO0014</t>
  </si>
  <si>
    <t>Blocked toilet not cleared by plunger; same-day service requested.</t>
  </si>
  <si>
    <t>EN0024</t>
  </si>
  <si>
    <t>DEMO-WO0008</t>
  </si>
  <si>
    <t>Price for adding utility room sink</t>
  </si>
  <si>
    <t>Replaced leaking section of pipe</t>
  </si>
  <si>
    <t>Quote requested for new utility room sink installation.</t>
  </si>
  <si>
    <t>EN0025</t>
  </si>
  <si>
    <t>Shower head dripping after use</t>
  </si>
  <si>
    <t>Minor shower head leak; customer requests repair within one week.</t>
  </si>
  <si>
    <t>EP008</t>
  </si>
  <si>
    <t>Ron S</t>
  </si>
  <si>
    <t>EN0026</t>
  </si>
  <si>
    <t>Need annual plumbing inspection</t>
  </si>
  <si>
    <t>Other</t>
  </si>
  <si>
    <t>Customer postponed</t>
  </si>
  <si>
    <t>Customer requested general inspection but postponed the work.</t>
  </si>
  <si>
    <t>EN0027</t>
  </si>
  <si>
    <t>Basement floor drain smells and drains slowly</t>
  </si>
  <si>
    <t>Basement floor drain has odour and slow drainage.</t>
  </si>
  <si>
    <t>DEMO-WO0009</t>
  </si>
  <si>
    <t>EN0028</t>
  </si>
  <si>
    <t>Install replacement kitchen faucet</t>
  </si>
  <si>
    <t>Customer chose another provider</t>
  </si>
  <si>
    <t>Kitchen faucet installation enquiry closed without conversion.</t>
  </si>
  <si>
    <t>EN0029</t>
  </si>
  <si>
    <t>Garage utility sink leaking from trap</t>
  </si>
  <si>
    <t>WO0015</t>
  </si>
  <si>
    <t>Utility sink trap leak requiring repair.</t>
  </si>
  <si>
    <t>Jack S</t>
  </si>
  <si>
    <t>EN0030</t>
  </si>
  <si>
    <t>Install smart leak detector</t>
  </si>
  <si>
    <t>WO0016</t>
  </si>
  <si>
    <t>Customer requests smart leak detector installation.</t>
  </si>
  <si>
    <t>DEMO-WO0010</t>
  </si>
  <si>
    <t>Repaired failed bath waste connection</t>
  </si>
  <si>
    <t>Paul T</t>
  </si>
  <si>
    <t>jacks@nsplumbing.com</t>
  </si>
  <si>
    <t>Busy</t>
  </si>
  <si>
    <t>DEMO-WO0011</t>
  </si>
  <si>
    <t>mariat@nsplumbing.com</t>
  </si>
  <si>
    <t>Available</t>
  </si>
  <si>
    <t>Drain requires camera inspection</t>
  </si>
  <si>
    <t>landonr@nsplumbing.com</t>
  </si>
  <si>
    <t>pault@nsplumbing.com</t>
  </si>
  <si>
    <t>johns@nsplumbing.com</t>
  </si>
  <si>
    <t>Emma T</t>
  </si>
  <si>
    <t>emmat@nsplumbing.com</t>
  </si>
  <si>
    <t>gregg@nsplumbing.com</t>
  </si>
  <si>
    <t>rons@nsplumbing.com</t>
  </si>
  <si>
    <t>EP009</t>
  </si>
  <si>
    <t>Ron T</t>
  </si>
  <si>
    <t>ront@nsplumbing.com</t>
  </si>
  <si>
    <t>DEMO-WO0012</t>
  </si>
  <si>
    <t>EP010</t>
  </si>
  <si>
    <t>Marta Q</t>
  </si>
  <si>
    <t>martaq@nsplumbing.com</t>
  </si>
  <si>
    <t>EP011</t>
  </si>
  <si>
    <t>Mike P</t>
  </si>
  <si>
    <t>mikep@nsplumbing.com</t>
  </si>
  <si>
    <t>EP012</t>
  </si>
  <si>
    <t>Cole B</t>
  </si>
  <si>
    <t>coleb@nsplumbing.com</t>
  </si>
  <si>
    <t>DEMO-WO0013</t>
  </si>
  <si>
    <t>Emergency isolation completed</t>
  </si>
  <si>
    <t>DEMO-WO0014</t>
  </si>
  <si>
    <t>DEMO-WO0015</t>
  </si>
  <si>
    <t>Replaced trap and seals</t>
  </si>
  <si>
    <t>DEMO-WO0016</t>
  </si>
  <si>
    <t>WO0017</t>
  </si>
  <si>
    <t>Awaiting quote approval</t>
  </si>
  <si>
    <t>WO0018</t>
  </si>
  <si>
    <t>Pending customer approval</t>
  </si>
  <si>
    <t>WO0019</t>
  </si>
  <si>
    <t>DEMO-WO0019</t>
  </si>
  <si>
    <t>Investigating pressure and trapped air</t>
  </si>
  <si>
    <t>WO0020</t>
  </si>
  <si>
    <t>DEMO-WO0020</t>
  </si>
  <si>
    <t>Invoice ID</t>
  </si>
  <si>
    <t>Cost</t>
  </si>
  <si>
    <t>Invoice Date</t>
  </si>
  <si>
    <t>Due Date</t>
  </si>
  <si>
    <t>Payment Date</t>
  </si>
  <si>
    <t>Payment Method</t>
  </si>
  <si>
    <t>Payment Status</t>
  </si>
  <si>
    <t>IN0001</t>
  </si>
  <si>
    <t>Debit</t>
  </si>
  <si>
    <t>IN0002</t>
  </si>
  <si>
    <t>Cash</t>
  </si>
  <si>
    <t>IN0003</t>
  </si>
  <si>
    <t>Paid</t>
  </si>
  <si>
    <t>IN0004</t>
  </si>
  <si>
    <t>Credit</t>
  </si>
  <si>
    <t>IN0005</t>
  </si>
  <si>
    <t>IN0006</t>
  </si>
  <si>
    <t>IN0007</t>
  </si>
  <si>
    <t>IN0008</t>
  </si>
  <si>
    <t>IN0009</t>
  </si>
  <si>
    <t>IN0010</t>
  </si>
  <si>
    <t>IN0011</t>
  </si>
  <si>
    <t>IN0012</t>
  </si>
  <si>
    <t>IN0013</t>
  </si>
  <si>
    <t>IN0014</t>
  </si>
  <si>
    <t>Late</t>
  </si>
  <si>
    <t>IN0015</t>
  </si>
  <si>
    <t>IN0016</t>
  </si>
  <si>
    <t>IN0017</t>
  </si>
  <si>
    <t>IN0018</t>
  </si>
  <si>
    <t>Parameters</t>
  </si>
  <si>
    <t>Value</t>
  </si>
  <si>
    <t>Stages of Enquiries</t>
  </si>
  <si>
    <t>Count</t>
  </si>
  <si>
    <t>Monthly Revenue</t>
  </si>
  <si>
    <t>Late Jobs</t>
  </si>
  <si>
    <t>New customers this month</t>
  </si>
  <si>
    <t>Enquiries</t>
  </si>
  <si>
    <t>Outstanding Invoices</t>
  </si>
  <si>
    <t>Customers waiting for a quote</t>
  </si>
  <si>
    <t>Number of return customers</t>
  </si>
  <si>
    <t>Late Invoices</t>
  </si>
  <si>
    <t>Scheduled Jobs Today</t>
  </si>
  <si>
    <t>Number of customers waiting for follow up</t>
  </si>
  <si>
    <t>Total Invoices</t>
  </si>
  <si>
    <t>Jobs completed in the last 30 days</t>
  </si>
  <si>
    <t>Average Invoice Value</t>
  </si>
  <si>
    <t>New Enquiries yesterday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</si>
</sst>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"/>
    <numFmt numFmtId="166" formatCode="M/d/yyyy H:mm:ss"/>
    <numFmt numFmtId="167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164" xfId="0" applyFont="1" applyNumberFormat="1"/>
    <xf borderId="0" fillId="0" fontId="1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167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20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0"/>
    </xf>
    <xf borderId="0" fillId="0" fontId="2" numFmtId="166" xfId="0" applyAlignment="1" applyFont="1" applyNumberFormat="1">
      <alignment shrinkToFit="0" vertical="bottom" wrapText="0"/>
    </xf>
    <xf borderId="0" fillId="0" fontId="2" numFmtId="20" xfId="0" applyAlignment="1" applyFont="1" applyNumberFormat="1">
      <alignment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0">
    <tableStyle count="4" pivot="0" name="Form Responses-style">
      <tableStyleElement dxfId="1" type="headerRow"/>
      <tableStyleElement dxfId="3" type="firstRowStripe"/>
      <tableStyleElement dxfId="4" type="secondRowStripe"/>
      <tableStyleElement dxfId="6" size="0" type="wholeTable"/>
    </tableStyle>
    <tableStyle count="4" pivot="0" name="Customers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Work Orders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Enquiries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Employees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Invoices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Dashboard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Dashboard-style 2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Dashboard-style 3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Dashboard-style 4">
      <tableStyleElement dxfId="2" type="headerRow"/>
      <tableStyleElement dxfId="3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Enquiry Conversion Funnel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FF9900"/>
            </a:solidFill>
            <a:ln cmpd="sng">
              <a:noFill/>
            </a:ln>
          </c:spPr>
          <c:cat>
            <c:strRef>
              <c:f>Dashboard!$H$2:$H$6</c:f>
            </c:strRef>
          </c:cat>
          <c:val>
            <c:numRef>
              <c:f>Dashboard!$I$2:$I$6</c:f>
              <c:numCache/>
            </c:numRef>
          </c:val>
        </c:ser>
        <c:axId val="1093683779"/>
        <c:axId val="1553249582"/>
      </c:barChart>
      <c:catAx>
        <c:axId val="10936837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249582"/>
      </c:catAx>
      <c:valAx>
        <c:axId val="15532495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6837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6</xdr:row>
      <xdr:rowOff>19050</xdr:rowOff>
    </xdr:from>
    <xdr:ext cx="3314700" cy="2066925"/>
    <xdr:pic>
      <xdr:nvPicPr>
        <xdr:cNvPr id="191708703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</xdr:row>
      <xdr:rowOff>47625</xdr:rowOff>
    </xdr:from>
    <xdr:ext cx="3248025" cy="2009775"/>
    <xdr:pic>
      <xdr:nvPicPr>
        <xdr:cNvPr id="208625260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1076325</xdr:colOff>
      <xdr:row>6</xdr:row>
      <xdr:rowOff>47625</xdr:rowOff>
    </xdr:from>
    <xdr:ext cx="3248025" cy="2009775"/>
    <xdr:pic>
      <xdr:nvPicPr>
        <xdr:cNvPr id="129190436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1866900</xdr:colOff>
      <xdr:row>6</xdr:row>
      <xdr:rowOff>114300</xdr:rowOff>
    </xdr:from>
    <xdr:ext cx="3314700" cy="2009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" displayName="Form_Responses" name="Form_Responses" id="1">
  <tableColumns count="9">
    <tableColumn name="Timestamp" id="1"/>
    <tableColumn name="Full Name" id="2"/>
    <tableColumn name="Phone Number" id="3"/>
    <tableColumn name="Email" id="4"/>
    <tableColumn name="Address" id="5"/>
    <tableColumn name="What service are you looking for?" id="6"/>
    <tableColumn name="Describe your problem" id="7"/>
    <tableColumn name="When do you need assistance" id="8"/>
    <tableColumn name="Preferred Contact Method" id="9"/>
  </tableColumns>
  <tableStyleInfo name="Form Responses-style" showColumnStripes="0" showFirstColumn="1" showLastColumn="1" showRowStripes="1"/>
</table>
</file>

<file path=xl/tables/table2.xml><?xml version="1.0" encoding="utf-8"?>
<table xmlns="http://schemas.openxmlformats.org/spreadsheetml/2006/main" ref="A1:B6" displayName="Sales" name="Sales" id="7">
  <tableColumns count="2">
    <tableColumn name="Parameters" id="1"/>
    <tableColumn name="Value" id="2"/>
  </tableColumns>
  <tableStyleInfo name="Dashboard-style" showColumnStripes="0" showFirstColumn="1" showLastColumn="1" showRowStripes="1"/>
</table>
</file>

<file path=xl/tables/table3.xml><?xml version="1.0" encoding="utf-8"?>
<table xmlns="http://schemas.openxmlformats.org/spreadsheetml/2006/main" ref="C1:D6" displayName="Operations" name="Operations" id="8">
  <tableColumns count="2">
    <tableColumn name="Parameters" id="1"/>
    <tableColumn name="Value" id="2"/>
  </tableColumns>
  <tableStyleInfo name="Dashboard-style 2" showColumnStripes="0" showFirstColumn="1" showLastColumn="1" showRowStripes="1"/>
</table>
</file>

<file path=xl/tables/table4.xml><?xml version="1.0" encoding="utf-8"?>
<table xmlns="http://schemas.openxmlformats.org/spreadsheetml/2006/main" ref="E1:F4" displayName="Customer_Stats" name="Customer_Stats" id="9">
  <tableColumns count="2">
    <tableColumn name="Parameters" id="1"/>
    <tableColumn name="Value" id="2"/>
  </tableColumns>
  <tableStyleInfo name="Dashboard-style 3" showColumnStripes="0" showFirstColumn="1" showLastColumn="1" showRowStripes="1"/>
</table>
</file>

<file path=xl/tables/table5.xml><?xml version="1.0" encoding="utf-8"?>
<table xmlns="http://schemas.openxmlformats.org/spreadsheetml/2006/main" ref="H1:I6" displayName="Enquiry_Conversion_Funnel" name="Enquiry_Conversion_Funnel" id="10">
  <tableColumns count="2">
    <tableColumn name="Stages of Enquiries" id="1"/>
    <tableColumn name="Count" id="2"/>
  </tableColumns>
  <tableStyleInfo name="Dashboard-style 4" showColumnStripes="0" showFirstColumn="1" showLastColumn="1" showRowStripes="1"/>
</table>
</file>

<file path=xl/tables/table6.xml><?xml version="1.0" encoding="utf-8"?>
<table xmlns="http://schemas.openxmlformats.org/spreadsheetml/2006/main" ref="A1:F19" displayName="Customers" name="Customers" id="2">
  <tableColumns count="6">
    <tableColumn name="Customer ID" id="1"/>
    <tableColumn name="Name" id="2"/>
    <tableColumn name="Phone number" id="3"/>
    <tableColumn name="Email" id="4"/>
    <tableColumn name="First Contact Date" id="5"/>
    <tableColumn name="Address" id="6"/>
  </tableColumns>
  <tableStyleInfo name="Customers-style" showColumnStripes="0" showFirstColumn="1" showLastColumn="1" showRowStripes="1"/>
</table>
</file>

<file path=xl/tables/table7.xml><?xml version="1.0" encoding="utf-8"?>
<table xmlns="http://schemas.openxmlformats.org/spreadsheetml/2006/main" ref="A1:U21" displayName="Work_Orders" name="Work_Orders" id="3">
  <tableColumns count="21">
    <tableColumn name="Work Order ID" id="1"/>
    <tableColumn name="Enquiry ID" id="2"/>
    <tableColumn name="Customer ID" id="3"/>
    <tableColumn name="Employee ID" id="4"/>
    <tableColumn name="Employee Name" id="5"/>
    <tableColumn name="Customer Name" id="6"/>
    <tableColumn name="Phone Number" id="7"/>
    <tableColumn name="Address" id="8"/>
    <tableColumn name="Estimated Cost" id="9"/>
    <tableColumn name="Status" id="10"/>
    <tableColumn name="Priority" id="11"/>
    <tableColumn name="Accepted Date" id="12"/>
    <tableColumn name="AI Summary" id="13"/>
    <tableColumn name="Customer Preferred Date" id="14"/>
    <tableColumn name="Scheduled Date/Time" id="15"/>
    <tableColumn name="Estimated Duration" id="16"/>
    <tableColumn name="Calendar Event ID" id="17"/>
    <tableColumn name="Completed Date" id="18"/>
    <tableColumn name="Enquiry Outcome Date" id="19"/>
    <tableColumn name="Employee Notes" id="20"/>
    <tableColumn name="Customer Email Sent" id="21"/>
  </tableColumns>
  <tableStyleInfo name="Work Orders-style" showColumnStripes="0" showFirstColumn="1" showLastColumn="1" showRowStripes="1"/>
</table>
</file>

<file path=xl/tables/table8.xml><?xml version="1.0" encoding="utf-8"?>
<table xmlns="http://schemas.openxmlformats.org/spreadsheetml/2006/main" ref="A1:P31" displayName="Enquiries" name="Enquiries" id="4">
  <tableColumns count="16">
    <tableColumn name="Enquiry ID" id="1"/>
    <tableColumn name="Customer ID" id="2"/>
    <tableColumn name="Enquiry Date" id="3"/>
    <tableColumn name="Service Type" id="4"/>
    <tableColumn name="Description" id="5"/>
    <tableColumn name="Customer Requested Timeframe" id="6"/>
    <tableColumn name="Preferred Contact Type" id="7"/>
    <tableColumn name="Quoted Date" id="8"/>
    <tableColumn name="Status" id="9"/>
    <tableColumn name="Work Order ID" id="10"/>
    <tableColumn name="Outcome Date" id="11"/>
    <tableColumn name="Outcome" id="12"/>
    <tableColumn name="Notes" id="13"/>
    <tableColumn name="AI Summary" id="14"/>
    <tableColumn name="AI Priority" id="15"/>
    <tableColumn name="AI Category" id="16"/>
  </tableColumns>
  <tableStyleInfo name="Enquiries-style" showColumnStripes="0" showFirstColumn="1" showLastColumn="1" showRowStripes="1"/>
</table>
</file>

<file path=xl/tables/table9.xml><?xml version="1.0" encoding="utf-8"?>
<table xmlns="http://schemas.openxmlformats.org/spreadsheetml/2006/main" ref="A1:E13" displayName="Employees" name="Employees" id="5">
  <tableColumns count="5">
    <tableColumn name="Employee ID" id="1"/>
    <tableColumn name="Name" id="2"/>
    <tableColumn name="Phone Number" id="3"/>
    <tableColumn name="Email" id="4"/>
    <tableColumn name="Status" id="5"/>
  </tableColumns>
  <tableStyleInfo name="Employees-style" showColumnStripes="0" showFirstColumn="1" showLastColumn="1" showRowStripes="1"/>
</table>
</file>

<file path=xl/tables/table10.xml><?xml version="1.0" encoding="utf-8"?>
<table xmlns="http://schemas.openxmlformats.org/spreadsheetml/2006/main" ref="A1:H20" displayName="Invoices" name="Invoices" id="6">
  <tableColumns count="8">
    <tableColumn name="Invoice ID" id="1"/>
    <tableColumn name="Work Order ID" id="2"/>
    <tableColumn name="Cost" id="3"/>
    <tableColumn name="Invoice Date" id="4"/>
    <tableColumn name="Due Date" id="5"/>
    <tableColumn name="Payment Date" id="6"/>
    <tableColumn name="Payment Method" id="7"/>
    <tableColumn name="Payment Status" id="8"/>
  </tableColumns>
  <tableStyleInfo name="Invoi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1.63"/>
    <col customWidth="1" min="8" max="8" width="26.88"/>
    <col customWidth="1" min="9" max="9" width="24.13"/>
    <col customWidth="1" min="10" max="15" width="18.88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3" t="s">
        <v>8</v>
      </c>
      <c r="G1" s="1" t="s">
        <v>10</v>
      </c>
      <c r="H1" s="1" t="s">
        <v>11</v>
      </c>
      <c r="I1" s="1" t="s">
        <v>12</v>
      </c>
    </row>
    <row r="2" ht="22.5" customHeight="1">
      <c r="A2" s="6">
        <v>46218.904239421296</v>
      </c>
      <c r="B2" s="8" t="s">
        <v>14</v>
      </c>
      <c r="C2" s="8">
        <v>8.253650001E9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22</v>
      </c>
    </row>
    <row r="3" ht="22.5" customHeight="1">
      <c r="A3" s="6">
        <v>46218.906165381944</v>
      </c>
      <c r="B3" s="8" t="s">
        <v>23</v>
      </c>
      <c r="C3" s="8">
        <v>8.253650002E9</v>
      </c>
      <c r="D3" s="8" t="s">
        <v>24</v>
      </c>
      <c r="E3" s="8" t="s">
        <v>25</v>
      </c>
      <c r="F3" s="8" t="s">
        <v>26</v>
      </c>
      <c r="G3" s="8" t="s">
        <v>29</v>
      </c>
      <c r="H3" s="8" t="s">
        <v>30</v>
      </c>
      <c r="I3" s="8" t="s">
        <v>5</v>
      </c>
    </row>
    <row r="4" ht="22.5" customHeight="1">
      <c r="A4" s="6">
        <v>46218.9092540162</v>
      </c>
      <c r="B4" s="8" t="s">
        <v>33</v>
      </c>
      <c r="C4" s="8">
        <v>8.253653003E9</v>
      </c>
      <c r="D4" s="8" t="s">
        <v>34</v>
      </c>
      <c r="E4" s="8" t="s">
        <v>36</v>
      </c>
      <c r="F4" s="8" t="s">
        <v>37</v>
      </c>
      <c r="G4" s="8" t="s">
        <v>39</v>
      </c>
      <c r="H4" s="8" t="s">
        <v>41</v>
      </c>
      <c r="I4" s="8" t="s">
        <v>5</v>
      </c>
    </row>
    <row r="5" ht="22.5" customHeight="1">
      <c r="A5" s="6">
        <v>46218.91261320602</v>
      </c>
      <c r="B5" s="8" t="s">
        <v>33</v>
      </c>
      <c r="C5" s="8">
        <v>8.253653003E9</v>
      </c>
      <c r="D5" s="8" t="s">
        <v>34</v>
      </c>
      <c r="E5" s="8" t="s">
        <v>36</v>
      </c>
      <c r="F5" s="8" t="s">
        <v>44</v>
      </c>
      <c r="G5" s="8" t="s">
        <v>46</v>
      </c>
      <c r="H5" s="8" t="s">
        <v>47</v>
      </c>
      <c r="I5" s="8" t="s">
        <v>22</v>
      </c>
    </row>
    <row r="6" ht="22.5" customHeight="1">
      <c r="A6" s="6">
        <v>46219.57069978009</v>
      </c>
      <c r="B6" s="8" t="s">
        <v>48</v>
      </c>
      <c r="C6" s="8">
        <v>8.25365308E9</v>
      </c>
      <c r="D6" s="8" t="s">
        <v>51</v>
      </c>
      <c r="E6" s="8" t="s">
        <v>52</v>
      </c>
      <c r="F6" s="8" t="s">
        <v>55</v>
      </c>
      <c r="G6" s="8" t="s">
        <v>56</v>
      </c>
      <c r="H6" s="8" t="s">
        <v>57</v>
      </c>
      <c r="I6" s="8" t="s">
        <v>22</v>
      </c>
    </row>
    <row r="7" ht="22.5" customHeight="1">
      <c r="A7" s="6">
        <v>46219.584537627314</v>
      </c>
      <c r="B7" s="8" t="s">
        <v>60</v>
      </c>
      <c r="C7" s="8">
        <v>8.253653007E9</v>
      </c>
      <c r="D7" s="8" t="s">
        <v>62</v>
      </c>
      <c r="E7" s="8" t="s">
        <v>64</v>
      </c>
      <c r="F7" s="8" t="s">
        <v>37</v>
      </c>
      <c r="G7" s="8" t="s">
        <v>66</v>
      </c>
      <c r="H7" s="8" t="s">
        <v>41</v>
      </c>
      <c r="I7" s="8" t="s">
        <v>5</v>
      </c>
    </row>
    <row r="8" ht="22.5" customHeight="1">
      <c r="A8" s="6">
        <v>46227.711429664356</v>
      </c>
      <c r="B8" s="8" t="s">
        <v>70</v>
      </c>
      <c r="C8" s="8">
        <v>8.253658888E9</v>
      </c>
      <c r="D8" s="8" t="s">
        <v>72</v>
      </c>
      <c r="E8" s="8" t="s">
        <v>73</v>
      </c>
      <c r="F8" s="8" t="s">
        <v>75</v>
      </c>
      <c r="G8" s="8" t="s">
        <v>76</v>
      </c>
      <c r="H8" s="8" t="s">
        <v>20</v>
      </c>
      <c r="I8" s="8" t="s">
        <v>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2.88"/>
    <col customWidth="1" min="3" max="3" width="28.0"/>
    <col customWidth="1" min="4" max="4" width="9.63"/>
    <col customWidth="1" min="5" max="5" width="34.0"/>
    <col customWidth="1" min="6" max="6" width="9.63"/>
    <col customWidth="1" min="7" max="7" width="14.75"/>
    <col customWidth="1" min="8" max="8" width="19.88"/>
    <col customWidth="1" min="9" max="9" width="17.63"/>
    <col customWidth="1" min="15" max="15" width="19.0"/>
  </cols>
  <sheetData>
    <row r="1" ht="22.5" customHeight="1">
      <c r="A1" s="47" t="s">
        <v>382</v>
      </c>
      <c r="B1" s="47" t="s">
        <v>383</v>
      </c>
      <c r="C1" s="47" t="s">
        <v>382</v>
      </c>
      <c r="D1" s="47" t="s">
        <v>383</v>
      </c>
      <c r="E1" s="47" t="s">
        <v>382</v>
      </c>
      <c r="F1" s="47" t="s">
        <v>383</v>
      </c>
      <c r="H1" s="47" t="s">
        <v>384</v>
      </c>
      <c r="I1" s="47" t="s">
        <v>385</v>
      </c>
      <c r="O1" s="40"/>
      <c r="P1" s="40"/>
    </row>
    <row r="2" ht="22.5" customHeight="1">
      <c r="A2" s="8" t="s">
        <v>386</v>
      </c>
      <c r="B2" s="45" t="str">
        <f>TEXT(SUMIF(Invoices[Payment Date], "&gt;="&amp;TODAY()-30, Invoices[Cost]),"$#,##0.00")</f>
        <v>$1,800.00</v>
      </c>
      <c r="C2" s="8" t="s">
        <v>387</v>
      </c>
      <c r="D2" s="16">
        <f>SUM(COUNTIFS(Work_Orders[Scheduled Date/Time], "&lt;"&amp;TODAY()-21, Work_Orders[Status],"Todo"), COUNTIFS(Work_Orders[Scheduled Date/Time], "&lt;"&amp;TODAY()-21, Work_Orders[Status],"In Progress"))</f>
        <v>1</v>
      </c>
      <c r="E2" s="8" t="s">
        <v>388</v>
      </c>
      <c r="F2" s="16">
        <f>COUNTIF(Customers[First Contact Date], "&gt;="&amp;TODAY()-30)</f>
        <v>12</v>
      </c>
      <c r="H2" s="8" t="s">
        <v>389</v>
      </c>
      <c r="I2" s="16">
        <f>COUNTA(Enquiries[Enquiry ID])</f>
        <v>30</v>
      </c>
      <c r="O2" s="40"/>
      <c r="P2" s="40"/>
    </row>
    <row r="3" ht="22.5" customHeight="1">
      <c r="A3" s="8" t="s">
        <v>390</v>
      </c>
      <c r="B3" s="45">
        <f>COUNTIF(Invoices[Payment Status], "In Progress")</f>
        <v>3</v>
      </c>
      <c r="C3" s="8" t="s">
        <v>391</v>
      </c>
      <c r="D3" s="16">
        <f>Countif(Enquiries[Status], "New")</f>
        <v>5</v>
      </c>
      <c r="E3" s="8" t="s">
        <v>392</v>
      </c>
      <c r="F3" s="16">
        <f>IFERROR(__xludf.DUMMYFUNCTION("COUNTUNIQUE(FILTER(Enquiries[Customer ID],COUNTIF(Enquiries[Customer ID],Enquiries[Customer ID])&gt;1))"),10.0)</f>
        <v>10</v>
      </c>
      <c r="H3" s="8" t="s">
        <v>171</v>
      </c>
      <c r="I3" s="16">
        <f>SUM(COUNTIF(Enquiries[Status],"Quoted"), COUNTIF(Enquiries[Status],"Approved"), COUNTIF(Enquiries[Status],"Converted"))</f>
        <v>22</v>
      </c>
      <c r="O3" s="40"/>
      <c r="P3" s="40"/>
    </row>
    <row r="4" ht="22.5" customHeight="1">
      <c r="A4" s="8" t="s">
        <v>393</v>
      </c>
      <c r="B4" s="8">
        <f>COUNTIF(Invoices[Payment Status], "Late")</f>
        <v>6</v>
      </c>
      <c r="C4" s="8" t="s">
        <v>394</v>
      </c>
      <c r="D4" s="16">
        <f>COUNTIF(Work_Orders[Status], "In Progress")</f>
        <v>2</v>
      </c>
      <c r="E4" s="8" t="s">
        <v>395</v>
      </c>
      <c r="F4" s="16">
        <f>countif(Enquiries[Status], "New")</f>
        <v>5</v>
      </c>
      <c r="H4" s="8" t="s">
        <v>115</v>
      </c>
      <c r="I4" s="16">
        <f>COUNTIF(Enquiries[Status], "Converted")</f>
        <v>16</v>
      </c>
      <c r="O4" s="40"/>
      <c r="P4" s="40"/>
    </row>
    <row r="5" ht="22.5" customHeight="1">
      <c r="A5" s="8" t="s">
        <v>396</v>
      </c>
      <c r="B5" s="45">
        <f>Countif(Invoices[Payment Status], "&lt;&gt;N/A")</f>
        <v>18</v>
      </c>
      <c r="C5" s="8" t="s">
        <v>397</v>
      </c>
      <c r="D5" s="16">
        <f>Countifs(Work_Orders[Status], "Completed", Work_Orders[Completed Date], "&gt;="&amp;TODAY()-30)</f>
        <v>6</v>
      </c>
      <c r="H5" s="8" t="s">
        <v>212</v>
      </c>
      <c r="I5" s="16">
        <f>COUNTIF(Work_Orders[Status], "Completed")</f>
        <v>10</v>
      </c>
    </row>
    <row r="6" ht="22.5" customHeight="1">
      <c r="A6" s="8" t="s">
        <v>398</v>
      </c>
      <c r="B6" s="45" t="str">
        <f>TEXT(AVERAGE(Invoices[Cost]), "$#,##0.00")</f>
        <v>$165.83</v>
      </c>
      <c r="C6" s="8" t="s">
        <v>399</v>
      </c>
      <c r="D6" s="16">
        <f>Countif(Enquiries[Enquiry Date], "="&amp;TODAY()-1)</f>
        <v>2</v>
      </c>
      <c r="H6" s="8" t="s">
        <v>364</v>
      </c>
      <c r="I6" s="16">
        <f>COUNTIF(Invoices[Payment Status], "Paid")</f>
        <v>9</v>
      </c>
    </row>
    <row r="10">
      <c r="F10" s="48"/>
    </row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5" width="22.63"/>
    <col customWidth="1" min="6" max="6" width="18.5"/>
  </cols>
  <sheetData>
    <row r="1" ht="22.5" customHeight="1">
      <c r="A1" s="2" t="s">
        <v>1</v>
      </c>
      <c r="B1" s="2" t="s">
        <v>3</v>
      </c>
      <c r="C1" s="2" t="s">
        <v>6</v>
      </c>
      <c r="D1" s="2" t="s">
        <v>5</v>
      </c>
      <c r="E1" s="4" t="s">
        <v>9</v>
      </c>
      <c r="F1" s="5" t="s">
        <v>7</v>
      </c>
    </row>
    <row r="2" ht="22.5" customHeight="1">
      <c r="A2" s="7" t="s">
        <v>13</v>
      </c>
      <c r="B2" s="7" t="s">
        <v>14</v>
      </c>
      <c r="C2" s="9" t="s">
        <v>15</v>
      </c>
      <c r="D2" s="7" t="s">
        <v>16</v>
      </c>
      <c r="E2" s="10">
        <v>46218.0</v>
      </c>
      <c r="F2" s="8" t="s">
        <v>17</v>
      </c>
    </row>
    <row r="3" ht="22.5" customHeight="1">
      <c r="A3" s="7" t="s">
        <v>28</v>
      </c>
      <c r="B3" s="7" t="s">
        <v>23</v>
      </c>
      <c r="C3" s="9" t="s">
        <v>31</v>
      </c>
      <c r="D3" s="7" t="s">
        <v>24</v>
      </c>
      <c r="E3" s="10">
        <v>46218.0</v>
      </c>
      <c r="F3" s="8" t="s">
        <v>25</v>
      </c>
    </row>
    <row r="4" ht="22.5" customHeight="1">
      <c r="A4" s="7" t="s">
        <v>40</v>
      </c>
      <c r="B4" s="7" t="s">
        <v>33</v>
      </c>
      <c r="C4" s="9" t="s">
        <v>42</v>
      </c>
      <c r="D4" s="7" t="s">
        <v>34</v>
      </c>
      <c r="E4" s="10">
        <v>46218.0</v>
      </c>
      <c r="F4" s="8" t="s">
        <v>36</v>
      </c>
    </row>
    <row r="5" ht="22.5" customHeight="1">
      <c r="A5" s="7" t="s">
        <v>49</v>
      </c>
      <c r="B5" s="7" t="s">
        <v>48</v>
      </c>
      <c r="C5" s="9" t="s">
        <v>53</v>
      </c>
      <c r="D5" s="7" t="s">
        <v>51</v>
      </c>
      <c r="E5" s="11">
        <v>46219.0</v>
      </c>
      <c r="F5" s="8" t="s">
        <v>52</v>
      </c>
    </row>
    <row r="6" ht="22.5" customHeight="1">
      <c r="A6" s="7" t="s">
        <v>63</v>
      </c>
      <c r="B6" s="7" t="s">
        <v>60</v>
      </c>
      <c r="C6" s="9" t="s">
        <v>67</v>
      </c>
      <c r="D6" s="7" t="s">
        <v>62</v>
      </c>
      <c r="E6" s="11">
        <v>46219.0</v>
      </c>
      <c r="F6" s="8" t="s">
        <v>64</v>
      </c>
    </row>
    <row r="7" ht="22.5" customHeight="1">
      <c r="A7" s="7" t="s">
        <v>78</v>
      </c>
      <c r="B7" s="7" t="s">
        <v>70</v>
      </c>
      <c r="C7" s="9" t="s">
        <v>80</v>
      </c>
      <c r="D7" s="7" t="s">
        <v>81</v>
      </c>
      <c r="E7" s="11">
        <v>46227.0</v>
      </c>
      <c r="F7" s="8" t="s">
        <v>73</v>
      </c>
    </row>
    <row r="8" ht="22.5" customHeight="1">
      <c r="A8" s="13" t="s">
        <v>84</v>
      </c>
      <c r="B8" s="13" t="s">
        <v>85</v>
      </c>
      <c r="C8" s="14" t="s">
        <v>86</v>
      </c>
      <c r="D8" s="13" t="s">
        <v>87</v>
      </c>
      <c r="E8" s="15">
        <v>46246.0</v>
      </c>
      <c r="F8" s="13" t="s">
        <v>88</v>
      </c>
    </row>
    <row r="9" ht="22.5" customHeight="1">
      <c r="A9" s="13" t="s">
        <v>89</v>
      </c>
      <c r="B9" s="13" t="s">
        <v>90</v>
      </c>
      <c r="C9" s="14" t="s">
        <v>92</v>
      </c>
      <c r="D9" s="13" t="s">
        <v>94</v>
      </c>
      <c r="E9" s="15">
        <v>46252.0</v>
      </c>
      <c r="F9" s="13" t="s">
        <v>98</v>
      </c>
    </row>
    <row r="10" ht="22.5" customHeight="1">
      <c r="A10" s="13" t="s">
        <v>100</v>
      </c>
      <c r="B10" s="13" t="s">
        <v>102</v>
      </c>
      <c r="C10" s="14" t="s">
        <v>104</v>
      </c>
      <c r="D10" s="13" t="s">
        <v>106</v>
      </c>
      <c r="E10" s="15">
        <v>46256.0</v>
      </c>
      <c r="F10" s="13" t="s">
        <v>109</v>
      </c>
    </row>
    <row r="11" ht="22.5" customHeight="1">
      <c r="A11" s="13" t="s">
        <v>110</v>
      </c>
      <c r="B11" s="13" t="s">
        <v>111</v>
      </c>
      <c r="C11" s="14" t="s">
        <v>112</v>
      </c>
      <c r="D11" s="13" t="s">
        <v>113</v>
      </c>
      <c r="E11" s="15">
        <v>46261.0</v>
      </c>
      <c r="F11" s="13" t="s">
        <v>116</v>
      </c>
    </row>
    <row r="12" ht="22.5" customHeight="1">
      <c r="A12" s="13" t="s">
        <v>119</v>
      </c>
      <c r="B12" s="13" t="s">
        <v>120</v>
      </c>
      <c r="C12" s="14" t="s">
        <v>121</v>
      </c>
      <c r="D12" s="13" t="s">
        <v>122</v>
      </c>
      <c r="E12" s="15">
        <v>46266.0</v>
      </c>
      <c r="F12" s="13" t="s">
        <v>123</v>
      </c>
    </row>
    <row r="13" ht="22.5" customHeight="1">
      <c r="A13" s="13" t="s">
        <v>124</v>
      </c>
      <c r="B13" s="13" t="s">
        <v>125</v>
      </c>
      <c r="C13" s="14" t="s">
        <v>126</v>
      </c>
      <c r="D13" s="13" t="s">
        <v>127</v>
      </c>
      <c r="E13" s="15">
        <v>46267.0</v>
      </c>
      <c r="F13" s="13" t="s">
        <v>129</v>
      </c>
    </row>
    <row r="14" ht="22.5" customHeight="1">
      <c r="A14" s="13" t="s">
        <v>131</v>
      </c>
      <c r="B14" s="13" t="s">
        <v>132</v>
      </c>
      <c r="C14" s="14" t="s">
        <v>133</v>
      </c>
      <c r="D14" s="13" t="s">
        <v>134</v>
      </c>
      <c r="E14" s="15">
        <v>46268.0</v>
      </c>
      <c r="F14" s="13" t="s">
        <v>135</v>
      </c>
    </row>
    <row r="15" ht="22.5" customHeight="1">
      <c r="A15" s="13" t="s">
        <v>138</v>
      </c>
      <c r="B15" s="13" t="s">
        <v>139</v>
      </c>
      <c r="C15" s="14" t="s">
        <v>141</v>
      </c>
      <c r="D15" s="13" t="s">
        <v>142</v>
      </c>
      <c r="E15" s="15">
        <v>46269.0</v>
      </c>
      <c r="F15" s="13" t="s">
        <v>143</v>
      </c>
    </row>
    <row r="16" ht="22.5" customHeight="1">
      <c r="A16" s="13" t="s">
        <v>144</v>
      </c>
      <c r="B16" s="13" t="s">
        <v>145</v>
      </c>
      <c r="C16" s="14" t="s">
        <v>146</v>
      </c>
      <c r="D16" s="13" t="s">
        <v>147</v>
      </c>
      <c r="E16" s="15">
        <v>46270.0</v>
      </c>
      <c r="F16" s="13" t="s">
        <v>148</v>
      </c>
    </row>
    <row r="17" ht="22.5" customHeight="1">
      <c r="A17" s="13" t="s">
        <v>149</v>
      </c>
      <c r="B17" s="13" t="s">
        <v>150</v>
      </c>
      <c r="C17" s="14" t="s">
        <v>151</v>
      </c>
      <c r="D17" s="13" t="s">
        <v>152</v>
      </c>
      <c r="E17" s="15">
        <v>46270.0</v>
      </c>
      <c r="F17" s="13" t="s">
        <v>153</v>
      </c>
    </row>
    <row r="18" ht="22.5" customHeight="1">
      <c r="A18" s="13" t="s">
        <v>154</v>
      </c>
      <c r="B18" s="13" t="s">
        <v>155</v>
      </c>
      <c r="C18" s="14" t="s">
        <v>157</v>
      </c>
      <c r="D18" s="13" t="s">
        <v>159</v>
      </c>
      <c r="E18" s="15">
        <v>46271.0</v>
      </c>
      <c r="F18" s="13" t="s">
        <v>160</v>
      </c>
    </row>
    <row r="19" ht="22.5" customHeight="1">
      <c r="A19" s="13" t="s">
        <v>161</v>
      </c>
      <c r="B19" s="13" t="s">
        <v>162</v>
      </c>
      <c r="C19" s="14" t="s">
        <v>163</v>
      </c>
      <c r="D19" s="13" t="s">
        <v>165</v>
      </c>
      <c r="E19" s="15">
        <v>46271.0</v>
      </c>
      <c r="F19" s="13" t="s">
        <v>167</v>
      </c>
    </row>
    <row r="20">
      <c r="A20" s="24"/>
      <c r="B20" s="24"/>
      <c r="C20" s="24"/>
      <c r="D20" s="24"/>
      <c r="E20" s="25"/>
    </row>
    <row r="21">
      <c r="A21" s="24"/>
      <c r="B21" s="24"/>
      <c r="C21" s="24"/>
      <c r="D21" s="24"/>
      <c r="E21" s="25"/>
    </row>
    <row r="22">
      <c r="A22" s="24"/>
      <c r="B22" s="24"/>
      <c r="C22" s="24"/>
      <c r="D22" s="24"/>
      <c r="E22" s="25"/>
    </row>
    <row r="23">
      <c r="A23" s="24"/>
      <c r="B23" s="24"/>
      <c r="C23" s="24"/>
      <c r="D23" s="24"/>
      <c r="E23" s="25"/>
    </row>
    <row r="24">
      <c r="A24" s="24"/>
      <c r="B24" s="24"/>
      <c r="C24" s="24"/>
      <c r="D24" s="24"/>
      <c r="E24" s="25"/>
    </row>
    <row r="25">
      <c r="A25" s="24"/>
      <c r="B25" s="24"/>
      <c r="C25" s="24"/>
      <c r="D25" s="24"/>
      <c r="E25" s="25"/>
    </row>
    <row r="26">
      <c r="A26" s="24"/>
      <c r="B26" s="24"/>
      <c r="C26" s="24"/>
      <c r="D26" s="24"/>
      <c r="E26" s="25"/>
    </row>
    <row r="27">
      <c r="A27" s="24"/>
      <c r="B27" s="24"/>
      <c r="C27" s="24"/>
      <c r="D27" s="24"/>
      <c r="E27" s="25"/>
    </row>
    <row r="28">
      <c r="A28" s="24"/>
      <c r="B28" s="24"/>
      <c r="C28" s="24"/>
      <c r="D28" s="24"/>
      <c r="E28" s="25"/>
    </row>
    <row r="29">
      <c r="A29" s="24"/>
      <c r="B29" s="24"/>
      <c r="C29" s="24"/>
      <c r="D29" s="24"/>
      <c r="E29" s="25"/>
    </row>
    <row r="30">
      <c r="A30" s="24"/>
      <c r="B30" s="24"/>
      <c r="C30" s="24"/>
      <c r="D30" s="24"/>
      <c r="E30" s="25"/>
    </row>
    <row r="31">
      <c r="A31" s="24"/>
      <c r="B31" s="24"/>
      <c r="C31" s="24"/>
      <c r="D31" s="24"/>
      <c r="E31" s="25"/>
    </row>
    <row r="32">
      <c r="A32" s="24"/>
      <c r="B32" s="24"/>
      <c r="C32" s="24"/>
      <c r="D32" s="24"/>
      <c r="E32" s="25"/>
    </row>
    <row r="33">
      <c r="A33" s="24"/>
      <c r="B33" s="24"/>
      <c r="C33" s="24"/>
      <c r="D33" s="24"/>
      <c r="E33" s="25"/>
    </row>
    <row r="34">
      <c r="A34" s="24"/>
      <c r="B34" s="24"/>
      <c r="C34" s="24"/>
      <c r="D34" s="24"/>
      <c r="E34" s="25"/>
    </row>
    <row r="35">
      <c r="A35" s="24"/>
      <c r="B35" s="24"/>
      <c r="C35" s="24"/>
      <c r="D35" s="24"/>
      <c r="E35" s="25"/>
    </row>
    <row r="36">
      <c r="A36" s="24"/>
      <c r="B36" s="24"/>
      <c r="C36" s="24"/>
      <c r="D36" s="24"/>
      <c r="E36" s="25"/>
    </row>
    <row r="37">
      <c r="A37" s="24"/>
      <c r="B37" s="24"/>
      <c r="C37" s="24"/>
      <c r="D37" s="24"/>
      <c r="E37" s="25"/>
    </row>
    <row r="38">
      <c r="A38" s="24"/>
      <c r="B38" s="24"/>
      <c r="C38" s="24"/>
      <c r="D38" s="24"/>
      <c r="E38" s="25"/>
    </row>
    <row r="39">
      <c r="A39" s="24"/>
      <c r="B39" s="24"/>
      <c r="C39" s="24"/>
      <c r="D39" s="24"/>
      <c r="E39" s="25"/>
    </row>
    <row r="40">
      <c r="A40" s="24"/>
      <c r="B40" s="24"/>
      <c r="C40" s="24"/>
      <c r="D40" s="24"/>
      <c r="E40" s="25"/>
    </row>
    <row r="41">
      <c r="A41" s="24"/>
      <c r="B41" s="24"/>
      <c r="C41" s="24"/>
      <c r="D41" s="24"/>
      <c r="E41" s="25"/>
    </row>
    <row r="42">
      <c r="A42" s="24"/>
      <c r="B42" s="24"/>
      <c r="C42" s="24"/>
      <c r="D42" s="24"/>
      <c r="E42" s="25"/>
    </row>
    <row r="43">
      <c r="A43" s="24"/>
      <c r="B43" s="24"/>
      <c r="C43" s="24"/>
      <c r="D43" s="24"/>
      <c r="E43" s="25"/>
    </row>
    <row r="44">
      <c r="A44" s="24"/>
      <c r="B44" s="24"/>
      <c r="C44" s="24"/>
      <c r="D44" s="24"/>
      <c r="E44" s="25"/>
    </row>
    <row r="45">
      <c r="A45" s="24"/>
      <c r="B45" s="24"/>
      <c r="C45" s="24"/>
      <c r="D45" s="24"/>
      <c r="E45" s="25"/>
    </row>
    <row r="46">
      <c r="A46" s="24"/>
      <c r="B46" s="24"/>
      <c r="C46" s="24"/>
      <c r="D46" s="24"/>
      <c r="E46" s="25"/>
    </row>
    <row r="47">
      <c r="A47" s="24"/>
      <c r="B47" s="24"/>
      <c r="C47" s="24"/>
      <c r="D47" s="24"/>
      <c r="E47" s="25"/>
    </row>
    <row r="48">
      <c r="A48" s="24"/>
      <c r="B48" s="24"/>
      <c r="C48" s="24"/>
      <c r="D48" s="24"/>
      <c r="E48" s="25"/>
    </row>
    <row r="49">
      <c r="A49" s="24"/>
      <c r="B49" s="24"/>
      <c r="C49" s="24"/>
      <c r="D49" s="24"/>
      <c r="E49" s="25"/>
    </row>
    <row r="50">
      <c r="A50" s="24"/>
      <c r="B50" s="24"/>
      <c r="C50" s="24"/>
      <c r="D50" s="24"/>
      <c r="E50" s="25"/>
    </row>
    <row r="51">
      <c r="A51" s="24"/>
      <c r="B51" s="24"/>
      <c r="C51" s="24"/>
      <c r="D51" s="24"/>
      <c r="E51" s="25"/>
    </row>
    <row r="52">
      <c r="A52" s="24"/>
      <c r="B52" s="24"/>
      <c r="C52" s="24"/>
      <c r="D52" s="24"/>
      <c r="E52" s="25"/>
    </row>
    <row r="53">
      <c r="A53" s="24"/>
      <c r="B53" s="24"/>
      <c r="C53" s="24"/>
      <c r="D53" s="24"/>
      <c r="E53" s="25"/>
    </row>
    <row r="54">
      <c r="A54" s="24"/>
      <c r="B54" s="24"/>
      <c r="C54" s="24"/>
      <c r="D54" s="24"/>
      <c r="E54" s="25"/>
    </row>
    <row r="55">
      <c r="A55" s="24"/>
      <c r="B55" s="24"/>
      <c r="C55" s="24"/>
      <c r="D55" s="24"/>
      <c r="E55" s="25"/>
    </row>
    <row r="56">
      <c r="A56" s="24"/>
      <c r="B56" s="24"/>
      <c r="C56" s="24"/>
      <c r="D56" s="24"/>
      <c r="E56" s="25"/>
    </row>
    <row r="57">
      <c r="A57" s="24"/>
      <c r="B57" s="24"/>
      <c r="C57" s="24"/>
      <c r="D57" s="24"/>
      <c r="E57" s="25"/>
    </row>
    <row r="58">
      <c r="A58" s="24"/>
      <c r="B58" s="24"/>
      <c r="C58" s="24"/>
      <c r="D58" s="24"/>
      <c r="E58" s="25"/>
    </row>
    <row r="59">
      <c r="A59" s="24"/>
      <c r="B59" s="24"/>
      <c r="C59" s="24"/>
      <c r="D59" s="24"/>
      <c r="E59" s="25"/>
    </row>
    <row r="60">
      <c r="A60" s="24"/>
      <c r="B60" s="24"/>
      <c r="C60" s="24"/>
      <c r="D60" s="24"/>
      <c r="E60" s="25"/>
    </row>
    <row r="61">
      <c r="A61" s="24"/>
      <c r="B61" s="24"/>
      <c r="C61" s="24"/>
      <c r="D61" s="24"/>
      <c r="E61" s="25"/>
    </row>
    <row r="62">
      <c r="A62" s="24"/>
      <c r="B62" s="24"/>
      <c r="C62" s="24"/>
      <c r="D62" s="24"/>
      <c r="E62" s="25"/>
    </row>
    <row r="63">
      <c r="A63" s="24"/>
      <c r="B63" s="24"/>
      <c r="C63" s="24"/>
      <c r="D63" s="24"/>
      <c r="E63" s="25"/>
    </row>
    <row r="64">
      <c r="A64" s="24"/>
      <c r="B64" s="24"/>
      <c r="C64" s="24"/>
      <c r="D64" s="24"/>
      <c r="E64" s="25"/>
    </row>
    <row r="65">
      <c r="A65" s="24"/>
      <c r="B65" s="24"/>
      <c r="C65" s="24"/>
      <c r="D65" s="24"/>
      <c r="E65" s="25"/>
    </row>
    <row r="66">
      <c r="A66" s="24"/>
      <c r="B66" s="24"/>
      <c r="C66" s="24"/>
      <c r="D66" s="24"/>
      <c r="E66" s="25"/>
    </row>
    <row r="67">
      <c r="A67" s="24"/>
      <c r="B67" s="24"/>
      <c r="C67" s="24"/>
      <c r="D67" s="24"/>
      <c r="E67" s="25"/>
    </row>
    <row r="68">
      <c r="A68" s="24"/>
      <c r="B68" s="24"/>
      <c r="C68" s="24"/>
      <c r="D68" s="24"/>
      <c r="E68" s="25"/>
    </row>
    <row r="69">
      <c r="A69" s="24"/>
      <c r="B69" s="24"/>
      <c r="C69" s="24"/>
      <c r="D69" s="24"/>
      <c r="E69" s="25"/>
    </row>
    <row r="70">
      <c r="A70" s="24"/>
      <c r="B70" s="24"/>
      <c r="C70" s="24"/>
      <c r="D70" s="24"/>
      <c r="E70" s="25"/>
    </row>
    <row r="71">
      <c r="A71" s="24"/>
      <c r="B71" s="24"/>
      <c r="C71" s="24"/>
      <c r="D71" s="24"/>
      <c r="E71" s="25"/>
    </row>
    <row r="72">
      <c r="A72" s="24"/>
      <c r="B72" s="24"/>
      <c r="C72" s="24"/>
      <c r="D72" s="24"/>
      <c r="E72" s="25"/>
    </row>
    <row r="73">
      <c r="A73" s="24"/>
      <c r="B73" s="24"/>
      <c r="C73" s="24"/>
      <c r="D73" s="24"/>
      <c r="E73" s="25"/>
    </row>
    <row r="74">
      <c r="A74" s="24"/>
      <c r="B74" s="24"/>
      <c r="C74" s="24"/>
      <c r="D74" s="24"/>
      <c r="E74" s="25"/>
    </row>
    <row r="75">
      <c r="A75" s="24"/>
      <c r="B75" s="24"/>
      <c r="C75" s="24"/>
      <c r="D75" s="24"/>
      <c r="E75" s="25"/>
    </row>
    <row r="76">
      <c r="A76" s="24"/>
      <c r="B76" s="24"/>
      <c r="C76" s="24"/>
      <c r="D76" s="24"/>
      <c r="E76" s="25"/>
    </row>
    <row r="77">
      <c r="A77" s="24"/>
      <c r="B77" s="24"/>
      <c r="C77" s="24"/>
      <c r="D77" s="24"/>
      <c r="E77" s="25"/>
    </row>
    <row r="78">
      <c r="A78" s="24"/>
      <c r="B78" s="24"/>
      <c r="C78" s="24"/>
      <c r="D78" s="24"/>
      <c r="E78" s="25"/>
    </row>
    <row r="79">
      <c r="A79" s="24"/>
      <c r="B79" s="24"/>
      <c r="C79" s="24"/>
      <c r="D79" s="24"/>
      <c r="E79" s="25"/>
    </row>
    <row r="80">
      <c r="A80" s="24"/>
      <c r="B80" s="24"/>
      <c r="C80" s="24"/>
      <c r="D80" s="24"/>
      <c r="E80" s="25"/>
    </row>
    <row r="81">
      <c r="A81" s="24"/>
      <c r="B81" s="24"/>
      <c r="C81" s="24"/>
      <c r="D81" s="24"/>
      <c r="E81" s="25"/>
    </row>
    <row r="82">
      <c r="A82" s="24"/>
      <c r="B82" s="24"/>
      <c r="C82" s="24"/>
      <c r="D82" s="24"/>
      <c r="E82" s="25"/>
    </row>
    <row r="83">
      <c r="A83" s="24"/>
      <c r="B83" s="24"/>
      <c r="C83" s="24"/>
      <c r="D83" s="24"/>
      <c r="E83" s="25"/>
    </row>
    <row r="84">
      <c r="A84" s="24"/>
      <c r="B84" s="24"/>
      <c r="C84" s="24"/>
      <c r="D84" s="24"/>
      <c r="E84" s="25"/>
    </row>
    <row r="85">
      <c r="A85" s="24"/>
      <c r="B85" s="24"/>
      <c r="C85" s="24"/>
      <c r="D85" s="24"/>
      <c r="E85" s="25"/>
    </row>
    <row r="86">
      <c r="A86" s="24"/>
      <c r="B86" s="24"/>
      <c r="C86" s="24"/>
      <c r="D86" s="24"/>
      <c r="E86" s="25"/>
    </row>
    <row r="87">
      <c r="A87" s="24"/>
      <c r="B87" s="24"/>
      <c r="C87" s="24"/>
      <c r="D87" s="24"/>
      <c r="E87" s="25"/>
    </row>
    <row r="88">
      <c r="A88" s="24"/>
      <c r="B88" s="24"/>
      <c r="C88" s="24"/>
      <c r="D88" s="24"/>
      <c r="E88" s="25"/>
    </row>
    <row r="89">
      <c r="A89" s="24"/>
      <c r="B89" s="24"/>
      <c r="C89" s="24"/>
      <c r="D89" s="24"/>
      <c r="E89" s="25"/>
    </row>
    <row r="90">
      <c r="A90" s="24"/>
      <c r="B90" s="24"/>
      <c r="C90" s="24"/>
      <c r="D90" s="24"/>
      <c r="E90" s="25"/>
    </row>
    <row r="91">
      <c r="A91" s="24"/>
      <c r="B91" s="24"/>
      <c r="C91" s="24"/>
      <c r="D91" s="24"/>
      <c r="E91" s="25"/>
    </row>
    <row r="92">
      <c r="A92" s="24"/>
      <c r="B92" s="24"/>
      <c r="C92" s="24"/>
      <c r="D92" s="24"/>
      <c r="E92" s="25"/>
    </row>
    <row r="93">
      <c r="A93" s="24"/>
      <c r="B93" s="24"/>
      <c r="C93" s="24"/>
      <c r="D93" s="24"/>
      <c r="E93" s="25"/>
    </row>
    <row r="94">
      <c r="A94" s="24"/>
      <c r="B94" s="24"/>
      <c r="C94" s="24"/>
      <c r="D94" s="24"/>
      <c r="E94" s="25"/>
    </row>
    <row r="95">
      <c r="A95" s="24"/>
      <c r="B95" s="24"/>
      <c r="C95" s="24"/>
      <c r="D95" s="24"/>
      <c r="E95" s="25"/>
    </row>
    <row r="96">
      <c r="A96" s="24"/>
      <c r="B96" s="24"/>
      <c r="C96" s="24"/>
      <c r="D96" s="24"/>
      <c r="E96" s="25"/>
    </row>
    <row r="97">
      <c r="A97" s="24"/>
      <c r="B97" s="24"/>
      <c r="C97" s="24"/>
      <c r="D97" s="24"/>
      <c r="E97" s="25"/>
    </row>
    <row r="98">
      <c r="A98" s="24"/>
      <c r="B98" s="24"/>
      <c r="C98" s="24"/>
      <c r="D98" s="24"/>
      <c r="E98" s="25"/>
    </row>
    <row r="99">
      <c r="A99" s="24"/>
      <c r="B99" s="24"/>
      <c r="C99" s="24"/>
      <c r="D99" s="24"/>
      <c r="E99" s="25"/>
    </row>
    <row r="100">
      <c r="A100" s="24"/>
      <c r="B100" s="24"/>
      <c r="C100" s="24"/>
      <c r="D100" s="24"/>
      <c r="E100" s="25"/>
    </row>
    <row r="101">
      <c r="A101" s="24"/>
      <c r="B101" s="24"/>
      <c r="C101" s="24"/>
      <c r="D101" s="24"/>
      <c r="E101" s="25"/>
    </row>
    <row r="102">
      <c r="A102" s="24"/>
      <c r="B102" s="24"/>
      <c r="C102" s="24"/>
      <c r="D102" s="24"/>
      <c r="E102" s="25"/>
    </row>
    <row r="103">
      <c r="A103" s="24"/>
      <c r="B103" s="24"/>
      <c r="C103" s="24"/>
      <c r="D103" s="24"/>
      <c r="E103" s="25"/>
    </row>
    <row r="104">
      <c r="A104" s="24"/>
      <c r="B104" s="24"/>
      <c r="C104" s="24"/>
      <c r="D104" s="24"/>
      <c r="E104" s="25"/>
    </row>
    <row r="105">
      <c r="A105" s="24"/>
      <c r="B105" s="24"/>
      <c r="C105" s="24"/>
      <c r="D105" s="24"/>
      <c r="E105" s="25"/>
    </row>
    <row r="106">
      <c r="A106" s="24"/>
      <c r="B106" s="24"/>
      <c r="C106" s="24"/>
      <c r="D106" s="24"/>
      <c r="E106" s="25"/>
    </row>
    <row r="107">
      <c r="A107" s="24"/>
      <c r="B107" s="24"/>
      <c r="C107" s="24"/>
      <c r="D107" s="24"/>
      <c r="E107" s="25"/>
    </row>
    <row r="108">
      <c r="A108" s="24"/>
      <c r="B108" s="24"/>
      <c r="C108" s="24"/>
      <c r="D108" s="24"/>
      <c r="E108" s="25"/>
    </row>
    <row r="109">
      <c r="A109" s="24"/>
      <c r="B109" s="24"/>
      <c r="C109" s="24"/>
      <c r="D109" s="24"/>
      <c r="E109" s="25"/>
    </row>
    <row r="110">
      <c r="A110" s="24"/>
      <c r="B110" s="24"/>
      <c r="C110" s="24"/>
      <c r="D110" s="24"/>
      <c r="E110" s="25"/>
    </row>
    <row r="111">
      <c r="A111" s="24"/>
      <c r="B111" s="24"/>
      <c r="C111" s="24"/>
      <c r="D111" s="24"/>
      <c r="E111" s="25"/>
    </row>
    <row r="112">
      <c r="A112" s="24"/>
      <c r="B112" s="24"/>
      <c r="C112" s="24"/>
      <c r="D112" s="24"/>
      <c r="E112" s="25"/>
    </row>
    <row r="113">
      <c r="A113" s="24"/>
      <c r="B113" s="24"/>
      <c r="C113" s="24"/>
      <c r="D113" s="24"/>
      <c r="E113" s="25"/>
    </row>
    <row r="114">
      <c r="A114" s="24"/>
      <c r="B114" s="24"/>
      <c r="C114" s="24"/>
      <c r="D114" s="24"/>
      <c r="E114" s="25"/>
    </row>
    <row r="115">
      <c r="A115" s="24"/>
      <c r="B115" s="24"/>
      <c r="C115" s="24"/>
      <c r="D115" s="24"/>
      <c r="E115" s="25"/>
    </row>
    <row r="116">
      <c r="A116" s="24"/>
      <c r="B116" s="24"/>
      <c r="C116" s="24"/>
      <c r="D116" s="24"/>
      <c r="E116" s="25"/>
    </row>
    <row r="117">
      <c r="A117" s="24"/>
      <c r="B117" s="24"/>
      <c r="C117" s="24"/>
      <c r="D117" s="24"/>
      <c r="E117" s="25"/>
    </row>
    <row r="118">
      <c r="A118" s="24"/>
      <c r="B118" s="24"/>
      <c r="C118" s="24"/>
      <c r="D118" s="24"/>
      <c r="E118" s="25"/>
    </row>
    <row r="119">
      <c r="A119" s="24"/>
      <c r="B119" s="24"/>
      <c r="C119" s="24"/>
      <c r="D119" s="24"/>
      <c r="E119" s="25"/>
    </row>
    <row r="120">
      <c r="A120" s="24"/>
      <c r="B120" s="24"/>
      <c r="C120" s="24"/>
      <c r="D120" s="24"/>
      <c r="E120" s="25"/>
    </row>
    <row r="121">
      <c r="A121" s="24"/>
      <c r="B121" s="24"/>
      <c r="C121" s="24"/>
      <c r="D121" s="24"/>
      <c r="E121" s="25"/>
    </row>
    <row r="122">
      <c r="A122" s="24"/>
      <c r="B122" s="24"/>
      <c r="C122" s="24"/>
      <c r="D122" s="24"/>
      <c r="E122" s="25"/>
    </row>
    <row r="123">
      <c r="A123" s="24"/>
      <c r="B123" s="24"/>
      <c r="C123" s="24"/>
      <c r="D123" s="24"/>
      <c r="E123" s="25"/>
    </row>
    <row r="124">
      <c r="A124" s="24"/>
      <c r="B124" s="24"/>
      <c r="C124" s="24"/>
      <c r="D124" s="24"/>
      <c r="E124" s="25"/>
    </row>
    <row r="125">
      <c r="A125" s="24"/>
      <c r="B125" s="24"/>
      <c r="C125" s="24"/>
      <c r="D125" s="24"/>
      <c r="E125" s="25"/>
    </row>
    <row r="126">
      <c r="A126" s="24"/>
      <c r="B126" s="24"/>
      <c r="C126" s="24"/>
      <c r="D126" s="24"/>
      <c r="E126" s="25"/>
    </row>
    <row r="127">
      <c r="A127" s="24"/>
      <c r="B127" s="24"/>
      <c r="C127" s="24"/>
      <c r="D127" s="24"/>
      <c r="E127" s="25"/>
    </row>
    <row r="128">
      <c r="A128" s="24"/>
      <c r="B128" s="24"/>
      <c r="C128" s="24"/>
      <c r="D128" s="24"/>
      <c r="E128" s="25"/>
    </row>
    <row r="129">
      <c r="A129" s="24"/>
      <c r="B129" s="24"/>
      <c r="C129" s="24"/>
      <c r="D129" s="24"/>
      <c r="E129" s="25"/>
    </row>
    <row r="130">
      <c r="A130" s="24"/>
      <c r="B130" s="24"/>
      <c r="C130" s="24"/>
      <c r="D130" s="24"/>
      <c r="E130" s="25"/>
    </row>
    <row r="131">
      <c r="A131" s="24"/>
      <c r="B131" s="24"/>
      <c r="C131" s="24"/>
      <c r="D131" s="24"/>
      <c r="E131" s="25"/>
    </row>
    <row r="132">
      <c r="A132" s="24"/>
      <c r="B132" s="24"/>
      <c r="C132" s="24"/>
      <c r="D132" s="24"/>
      <c r="E132" s="25"/>
    </row>
    <row r="133">
      <c r="A133" s="24"/>
      <c r="B133" s="24"/>
      <c r="C133" s="24"/>
      <c r="D133" s="24"/>
      <c r="E133" s="25"/>
    </row>
    <row r="134">
      <c r="A134" s="24"/>
      <c r="B134" s="24"/>
      <c r="C134" s="24"/>
      <c r="D134" s="24"/>
      <c r="E134" s="25"/>
    </row>
    <row r="135">
      <c r="A135" s="24"/>
      <c r="B135" s="24"/>
      <c r="C135" s="24"/>
      <c r="D135" s="24"/>
      <c r="E135" s="25"/>
    </row>
    <row r="136">
      <c r="A136" s="24"/>
      <c r="B136" s="24"/>
      <c r="C136" s="24"/>
      <c r="D136" s="24"/>
      <c r="E136" s="25"/>
    </row>
    <row r="137">
      <c r="A137" s="24"/>
      <c r="B137" s="24"/>
      <c r="C137" s="24"/>
      <c r="D137" s="24"/>
      <c r="E137" s="25"/>
    </row>
    <row r="138">
      <c r="A138" s="24"/>
      <c r="B138" s="24"/>
      <c r="C138" s="24"/>
      <c r="D138" s="24"/>
      <c r="E138" s="25"/>
    </row>
    <row r="139">
      <c r="A139" s="24"/>
      <c r="B139" s="24"/>
      <c r="C139" s="24"/>
      <c r="D139" s="24"/>
      <c r="E139" s="25"/>
    </row>
    <row r="140">
      <c r="A140" s="24"/>
      <c r="B140" s="24"/>
      <c r="C140" s="24"/>
      <c r="D140" s="24"/>
      <c r="E140" s="25"/>
    </row>
    <row r="141">
      <c r="A141" s="24"/>
      <c r="B141" s="24"/>
      <c r="C141" s="24"/>
      <c r="D141" s="24"/>
      <c r="E141" s="25"/>
    </row>
    <row r="142">
      <c r="A142" s="24"/>
      <c r="B142" s="24"/>
      <c r="C142" s="24"/>
      <c r="D142" s="24"/>
      <c r="E142" s="25"/>
    </row>
    <row r="143">
      <c r="A143" s="24"/>
      <c r="B143" s="24"/>
      <c r="C143" s="24"/>
      <c r="D143" s="24"/>
      <c r="E143" s="25"/>
    </row>
    <row r="144">
      <c r="A144" s="24"/>
      <c r="B144" s="24"/>
      <c r="C144" s="24"/>
      <c r="D144" s="24"/>
      <c r="E144" s="25"/>
    </row>
    <row r="145">
      <c r="A145" s="24"/>
      <c r="B145" s="24"/>
      <c r="C145" s="24"/>
      <c r="D145" s="24"/>
      <c r="E145" s="25"/>
    </row>
    <row r="146">
      <c r="A146" s="24"/>
      <c r="B146" s="24"/>
      <c r="C146" s="24"/>
      <c r="D146" s="24"/>
      <c r="E146" s="25"/>
    </row>
    <row r="147">
      <c r="A147" s="24"/>
      <c r="B147" s="24"/>
      <c r="C147" s="24"/>
      <c r="D147" s="24"/>
      <c r="E147" s="25"/>
    </row>
    <row r="148">
      <c r="A148" s="24"/>
      <c r="B148" s="24"/>
      <c r="C148" s="24"/>
      <c r="D148" s="24"/>
      <c r="E148" s="25"/>
    </row>
    <row r="149">
      <c r="A149" s="24"/>
      <c r="B149" s="24"/>
      <c r="C149" s="24"/>
      <c r="D149" s="24"/>
      <c r="E149" s="25"/>
    </row>
    <row r="150">
      <c r="A150" s="24"/>
      <c r="B150" s="24"/>
      <c r="C150" s="24"/>
      <c r="D150" s="24"/>
      <c r="E150" s="25"/>
    </row>
    <row r="151">
      <c r="A151" s="24"/>
      <c r="B151" s="24"/>
      <c r="C151" s="24"/>
      <c r="D151" s="24"/>
      <c r="E151" s="25"/>
    </row>
    <row r="152">
      <c r="A152" s="24"/>
      <c r="B152" s="24"/>
      <c r="C152" s="24"/>
      <c r="D152" s="24"/>
      <c r="E152" s="25"/>
    </row>
    <row r="153">
      <c r="A153" s="24"/>
      <c r="B153" s="24"/>
      <c r="C153" s="24"/>
      <c r="D153" s="24"/>
      <c r="E153" s="25"/>
    </row>
    <row r="154">
      <c r="A154" s="24"/>
      <c r="B154" s="24"/>
      <c r="C154" s="24"/>
      <c r="D154" s="24"/>
      <c r="E154" s="25"/>
    </row>
    <row r="155">
      <c r="A155" s="24"/>
      <c r="B155" s="24"/>
      <c r="C155" s="24"/>
      <c r="D155" s="24"/>
      <c r="E155" s="25"/>
    </row>
    <row r="156">
      <c r="A156" s="24"/>
      <c r="B156" s="24"/>
      <c r="C156" s="24"/>
      <c r="D156" s="24"/>
      <c r="E156" s="25"/>
    </row>
    <row r="157">
      <c r="A157" s="24"/>
      <c r="B157" s="24"/>
      <c r="C157" s="24"/>
      <c r="D157" s="24"/>
      <c r="E157" s="25"/>
    </row>
    <row r="158">
      <c r="A158" s="24"/>
      <c r="B158" s="24"/>
      <c r="C158" s="24"/>
      <c r="D158" s="24"/>
      <c r="E158" s="25"/>
    </row>
    <row r="159">
      <c r="A159" s="24"/>
      <c r="B159" s="24"/>
      <c r="C159" s="24"/>
      <c r="D159" s="24"/>
      <c r="E159" s="25"/>
    </row>
    <row r="160">
      <c r="A160" s="24"/>
      <c r="B160" s="24"/>
      <c r="C160" s="24"/>
      <c r="D160" s="24"/>
      <c r="E160" s="25"/>
    </row>
    <row r="161">
      <c r="A161" s="24"/>
      <c r="B161" s="24"/>
      <c r="C161" s="24"/>
      <c r="D161" s="24"/>
      <c r="E161" s="25"/>
    </row>
    <row r="162">
      <c r="A162" s="24"/>
      <c r="B162" s="24"/>
      <c r="C162" s="24"/>
      <c r="D162" s="24"/>
      <c r="E162" s="25"/>
    </row>
    <row r="163">
      <c r="A163" s="24"/>
      <c r="B163" s="24"/>
      <c r="C163" s="24"/>
      <c r="D163" s="24"/>
      <c r="E163" s="25"/>
    </row>
    <row r="164">
      <c r="A164" s="24"/>
      <c r="B164" s="24"/>
      <c r="C164" s="24"/>
      <c r="D164" s="24"/>
      <c r="E164" s="25"/>
    </row>
    <row r="165">
      <c r="A165" s="24"/>
      <c r="B165" s="24"/>
      <c r="C165" s="24"/>
      <c r="D165" s="24"/>
      <c r="E165" s="25"/>
    </row>
    <row r="166">
      <c r="A166" s="24"/>
      <c r="B166" s="24"/>
      <c r="C166" s="24"/>
      <c r="D166" s="24"/>
      <c r="E166" s="25"/>
    </row>
    <row r="167">
      <c r="A167" s="24"/>
      <c r="B167" s="24"/>
      <c r="C167" s="24"/>
      <c r="D167" s="24"/>
      <c r="E167" s="25"/>
    </row>
    <row r="168">
      <c r="A168" s="24"/>
      <c r="B168" s="24"/>
      <c r="C168" s="24"/>
      <c r="D168" s="24"/>
      <c r="E168" s="25"/>
    </row>
    <row r="169">
      <c r="A169" s="24"/>
      <c r="B169" s="24"/>
      <c r="C169" s="24"/>
      <c r="D169" s="24"/>
      <c r="E169" s="25"/>
    </row>
    <row r="170">
      <c r="A170" s="24"/>
      <c r="B170" s="24"/>
      <c r="C170" s="24"/>
      <c r="D170" s="24"/>
      <c r="E170" s="25"/>
    </row>
    <row r="171">
      <c r="A171" s="24"/>
      <c r="B171" s="24"/>
      <c r="C171" s="24"/>
      <c r="D171" s="24"/>
      <c r="E171" s="25"/>
    </row>
    <row r="172">
      <c r="A172" s="24"/>
      <c r="B172" s="24"/>
      <c r="C172" s="24"/>
      <c r="D172" s="24"/>
      <c r="E172" s="25"/>
    </row>
    <row r="173">
      <c r="A173" s="24"/>
      <c r="B173" s="24"/>
      <c r="C173" s="24"/>
      <c r="D173" s="24"/>
      <c r="E173" s="25"/>
    </row>
    <row r="174">
      <c r="A174" s="24"/>
      <c r="B174" s="24"/>
      <c r="C174" s="24"/>
      <c r="D174" s="24"/>
      <c r="E174" s="25"/>
    </row>
    <row r="175">
      <c r="A175" s="24"/>
      <c r="B175" s="24"/>
      <c r="C175" s="24"/>
      <c r="D175" s="24"/>
      <c r="E175" s="25"/>
    </row>
    <row r="176">
      <c r="A176" s="24"/>
      <c r="B176" s="24"/>
      <c r="C176" s="24"/>
      <c r="D176" s="24"/>
      <c r="E176" s="25"/>
    </row>
    <row r="177">
      <c r="A177" s="24"/>
      <c r="B177" s="24"/>
      <c r="C177" s="24"/>
      <c r="D177" s="24"/>
      <c r="E177" s="25"/>
    </row>
    <row r="178">
      <c r="A178" s="24"/>
      <c r="B178" s="24"/>
      <c r="C178" s="24"/>
      <c r="D178" s="24"/>
      <c r="E178" s="25"/>
    </row>
    <row r="179">
      <c r="A179" s="24"/>
      <c r="B179" s="24"/>
      <c r="C179" s="24"/>
      <c r="D179" s="24"/>
      <c r="E179" s="25"/>
    </row>
    <row r="180">
      <c r="A180" s="24"/>
      <c r="B180" s="24"/>
      <c r="C180" s="24"/>
      <c r="D180" s="24"/>
      <c r="E180" s="25"/>
    </row>
    <row r="181">
      <c r="A181" s="24"/>
      <c r="B181" s="24"/>
      <c r="C181" s="24"/>
      <c r="D181" s="24"/>
      <c r="E181" s="25"/>
    </row>
    <row r="182">
      <c r="A182" s="24"/>
      <c r="B182" s="24"/>
      <c r="C182" s="24"/>
      <c r="D182" s="24"/>
      <c r="E182" s="25"/>
    </row>
    <row r="183">
      <c r="A183" s="24"/>
      <c r="B183" s="24"/>
      <c r="C183" s="24"/>
      <c r="D183" s="24"/>
      <c r="E183" s="25"/>
    </row>
    <row r="184">
      <c r="A184" s="24"/>
      <c r="B184" s="24"/>
      <c r="C184" s="24"/>
      <c r="D184" s="24"/>
      <c r="E184" s="25"/>
    </row>
    <row r="185">
      <c r="A185" s="24"/>
      <c r="B185" s="24"/>
      <c r="C185" s="24"/>
      <c r="D185" s="24"/>
      <c r="E185" s="25"/>
    </row>
    <row r="186">
      <c r="A186" s="24"/>
      <c r="B186" s="24"/>
      <c r="C186" s="24"/>
      <c r="D186" s="24"/>
      <c r="E186" s="25"/>
    </row>
    <row r="187">
      <c r="A187" s="24"/>
      <c r="B187" s="24"/>
      <c r="C187" s="24"/>
      <c r="D187" s="24"/>
      <c r="E187" s="25"/>
    </row>
    <row r="188">
      <c r="A188" s="24"/>
      <c r="B188" s="24"/>
      <c r="C188" s="24"/>
      <c r="D188" s="24"/>
      <c r="E188" s="25"/>
    </row>
    <row r="189">
      <c r="A189" s="24"/>
      <c r="B189" s="24"/>
      <c r="C189" s="24"/>
      <c r="D189" s="24"/>
      <c r="E189" s="25"/>
    </row>
    <row r="190">
      <c r="A190" s="24"/>
      <c r="B190" s="24"/>
      <c r="C190" s="24"/>
      <c r="D190" s="24"/>
      <c r="E190" s="25"/>
    </row>
    <row r="191">
      <c r="A191" s="24"/>
      <c r="B191" s="24"/>
      <c r="C191" s="24"/>
      <c r="D191" s="24"/>
      <c r="E191" s="25"/>
    </row>
    <row r="192">
      <c r="A192" s="24"/>
      <c r="B192" s="24"/>
      <c r="C192" s="24"/>
      <c r="D192" s="24"/>
      <c r="E192" s="25"/>
    </row>
    <row r="193">
      <c r="A193" s="24"/>
      <c r="B193" s="24"/>
      <c r="C193" s="24"/>
      <c r="D193" s="24"/>
      <c r="E193" s="25"/>
    </row>
    <row r="194">
      <c r="A194" s="24"/>
      <c r="B194" s="24"/>
      <c r="C194" s="24"/>
      <c r="D194" s="24"/>
      <c r="E194" s="25"/>
    </row>
    <row r="195">
      <c r="A195" s="24"/>
      <c r="B195" s="24"/>
      <c r="C195" s="24"/>
      <c r="D195" s="24"/>
      <c r="E195" s="25"/>
    </row>
    <row r="196">
      <c r="A196" s="24"/>
      <c r="B196" s="24"/>
      <c r="C196" s="24"/>
      <c r="D196" s="24"/>
      <c r="E196" s="25"/>
    </row>
    <row r="197">
      <c r="A197" s="24"/>
      <c r="B197" s="24"/>
      <c r="C197" s="24"/>
      <c r="D197" s="24"/>
      <c r="E197" s="25"/>
    </row>
    <row r="198">
      <c r="A198" s="24"/>
      <c r="B198" s="24"/>
      <c r="C198" s="24"/>
      <c r="D198" s="24"/>
      <c r="E198" s="25"/>
    </row>
    <row r="199">
      <c r="A199" s="24"/>
      <c r="B199" s="24"/>
      <c r="C199" s="24"/>
      <c r="D199" s="24"/>
      <c r="E199" s="25"/>
    </row>
    <row r="200">
      <c r="A200" s="24"/>
      <c r="B200" s="24"/>
      <c r="C200" s="24"/>
      <c r="D200" s="24"/>
      <c r="E200" s="25"/>
    </row>
    <row r="201">
      <c r="A201" s="24"/>
      <c r="B201" s="24"/>
      <c r="C201" s="24"/>
      <c r="D201" s="24"/>
      <c r="E201" s="25"/>
    </row>
    <row r="202">
      <c r="A202" s="24"/>
      <c r="B202" s="24"/>
      <c r="C202" s="24"/>
      <c r="D202" s="24"/>
      <c r="E202" s="25"/>
    </row>
    <row r="203">
      <c r="A203" s="24"/>
      <c r="B203" s="24"/>
      <c r="C203" s="24"/>
      <c r="D203" s="24"/>
      <c r="E203" s="25"/>
    </row>
    <row r="204">
      <c r="A204" s="24"/>
      <c r="B204" s="24"/>
      <c r="C204" s="24"/>
      <c r="D204" s="24"/>
      <c r="E204" s="25"/>
    </row>
    <row r="205">
      <c r="A205" s="24"/>
      <c r="B205" s="24"/>
      <c r="C205" s="24"/>
      <c r="D205" s="24"/>
      <c r="E205" s="25"/>
    </row>
    <row r="206">
      <c r="A206" s="24"/>
      <c r="B206" s="24"/>
      <c r="C206" s="24"/>
      <c r="D206" s="24"/>
      <c r="E206" s="25"/>
    </row>
    <row r="207">
      <c r="A207" s="24"/>
      <c r="B207" s="24"/>
      <c r="C207" s="24"/>
      <c r="D207" s="24"/>
      <c r="E207" s="25"/>
    </row>
    <row r="208">
      <c r="A208" s="24"/>
      <c r="B208" s="24"/>
      <c r="C208" s="24"/>
      <c r="D208" s="24"/>
      <c r="E208" s="25"/>
    </row>
    <row r="209">
      <c r="A209" s="24"/>
      <c r="B209" s="24"/>
      <c r="C209" s="24"/>
      <c r="D209" s="24"/>
      <c r="E209" s="25"/>
    </row>
    <row r="210">
      <c r="A210" s="24"/>
      <c r="B210" s="24"/>
      <c r="C210" s="24"/>
      <c r="D210" s="24"/>
      <c r="E210" s="25"/>
    </row>
    <row r="211">
      <c r="A211" s="24"/>
      <c r="B211" s="24"/>
      <c r="C211" s="24"/>
      <c r="D211" s="24"/>
      <c r="E211" s="25"/>
    </row>
    <row r="212">
      <c r="A212" s="24"/>
      <c r="B212" s="24"/>
      <c r="C212" s="24"/>
      <c r="D212" s="24"/>
      <c r="E212" s="25"/>
    </row>
    <row r="213">
      <c r="A213" s="24"/>
      <c r="B213" s="24"/>
      <c r="C213" s="24"/>
      <c r="D213" s="24"/>
      <c r="E213" s="25"/>
    </row>
    <row r="214">
      <c r="A214" s="24"/>
      <c r="B214" s="24"/>
      <c r="C214" s="24"/>
      <c r="D214" s="24"/>
      <c r="E214" s="25"/>
    </row>
    <row r="215">
      <c r="A215" s="24"/>
      <c r="B215" s="24"/>
      <c r="C215" s="24"/>
      <c r="D215" s="24"/>
      <c r="E215" s="25"/>
    </row>
    <row r="216">
      <c r="A216" s="24"/>
      <c r="B216" s="24"/>
      <c r="C216" s="24"/>
      <c r="D216" s="24"/>
      <c r="E216" s="25"/>
    </row>
    <row r="217">
      <c r="A217" s="24"/>
      <c r="B217" s="24"/>
      <c r="C217" s="24"/>
      <c r="D217" s="24"/>
      <c r="E217" s="25"/>
    </row>
    <row r="218">
      <c r="A218" s="24"/>
      <c r="B218" s="24"/>
      <c r="C218" s="24"/>
      <c r="D218" s="24"/>
      <c r="E218" s="25"/>
    </row>
    <row r="219">
      <c r="A219" s="24"/>
      <c r="B219" s="24"/>
      <c r="C219" s="24"/>
      <c r="D219" s="24"/>
      <c r="E219" s="25"/>
    </row>
    <row r="220">
      <c r="A220" s="24"/>
      <c r="B220" s="24"/>
      <c r="C220" s="24"/>
      <c r="D220" s="24"/>
      <c r="E220" s="25"/>
    </row>
    <row r="221">
      <c r="A221" s="24"/>
      <c r="B221" s="24"/>
      <c r="C221" s="24"/>
      <c r="D221" s="24"/>
      <c r="E221" s="25"/>
    </row>
    <row r="222">
      <c r="A222" s="24"/>
      <c r="B222" s="24"/>
      <c r="C222" s="24"/>
      <c r="D222" s="24"/>
      <c r="E222" s="25"/>
    </row>
    <row r="223">
      <c r="A223" s="24"/>
      <c r="B223" s="24"/>
      <c r="C223" s="24"/>
      <c r="D223" s="24"/>
      <c r="E223" s="25"/>
    </row>
    <row r="224">
      <c r="A224" s="24"/>
      <c r="B224" s="24"/>
      <c r="C224" s="24"/>
      <c r="D224" s="24"/>
      <c r="E224" s="25"/>
    </row>
    <row r="225">
      <c r="A225" s="24"/>
      <c r="B225" s="24"/>
      <c r="C225" s="24"/>
      <c r="D225" s="24"/>
      <c r="E225" s="25"/>
    </row>
    <row r="226">
      <c r="A226" s="24"/>
      <c r="B226" s="24"/>
      <c r="C226" s="24"/>
      <c r="D226" s="24"/>
      <c r="E226" s="25"/>
    </row>
    <row r="227">
      <c r="A227" s="24"/>
      <c r="B227" s="24"/>
      <c r="C227" s="24"/>
      <c r="D227" s="24"/>
      <c r="E227" s="25"/>
    </row>
    <row r="228">
      <c r="A228" s="24"/>
      <c r="B228" s="24"/>
      <c r="C228" s="24"/>
      <c r="D228" s="24"/>
      <c r="E228" s="25"/>
    </row>
    <row r="229">
      <c r="A229" s="24"/>
      <c r="B229" s="24"/>
      <c r="C229" s="24"/>
      <c r="D229" s="24"/>
      <c r="E229" s="25"/>
    </row>
    <row r="230">
      <c r="A230" s="24"/>
      <c r="B230" s="24"/>
      <c r="C230" s="24"/>
      <c r="D230" s="24"/>
      <c r="E230" s="25"/>
    </row>
    <row r="231">
      <c r="A231" s="24"/>
      <c r="B231" s="24"/>
      <c r="C231" s="24"/>
      <c r="D231" s="24"/>
      <c r="E231" s="25"/>
    </row>
    <row r="232">
      <c r="A232" s="24"/>
      <c r="B232" s="24"/>
      <c r="C232" s="24"/>
      <c r="D232" s="24"/>
      <c r="E232" s="25"/>
    </row>
    <row r="233">
      <c r="A233" s="24"/>
      <c r="B233" s="24"/>
      <c r="C233" s="24"/>
      <c r="D233" s="24"/>
      <c r="E233" s="25"/>
    </row>
    <row r="234">
      <c r="A234" s="24"/>
      <c r="B234" s="24"/>
      <c r="C234" s="24"/>
      <c r="D234" s="24"/>
      <c r="E234" s="25"/>
    </row>
    <row r="235">
      <c r="A235" s="24"/>
      <c r="B235" s="24"/>
      <c r="C235" s="24"/>
      <c r="D235" s="24"/>
      <c r="E235" s="25"/>
    </row>
    <row r="236">
      <c r="A236" s="24"/>
      <c r="B236" s="24"/>
      <c r="C236" s="24"/>
      <c r="D236" s="24"/>
      <c r="E236" s="25"/>
    </row>
    <row r="237">
      <c r="A237" s="24"/>
      <c r="B237" s="24"/>
      <c r="C237" s="24"/>
      <c r="D237" s="24"/>
      <c r="E237" s="25"/>
    </row>
    <row r="238">
      <c r="A238" s="24"/>
      <c r="B238" s="24"/>
      <c r="C238" s="24"/>
      <c r="D238" s="24"/>
      <c r="E238" s="25"/>
    </row>
    <row r="239">
      <c r="A239" s="24"/>
      <c r="B239" s="24"/>
      <c r="C239" s="24"/>
      <c r="D239" s="24"/>
      <c r="E239" s="25"/>
    </row>
    <row r="240">
      <c r="A240" s="24"/>
      <c r="B240" s="24"/>
      <c r="C240" s="24"/>
      <c r="D240" s="24"/>
      <c r="E240" s="25"/>
    </row>
    <row r="241">
      <c r="A241" s="24"/>
      <c r="B241" s="24"/>
      <c r="C241" s="24"/>
      <c r="D241" s="24"/>
      <c r="E241" s="25"/>
    </row>
    <row r="242">
      <c r="A242" s="24"/>
      <c r="B242" s="24"/>
      <c r="C242" s="24"/>
      <c r="D242" s="24"/>
      <c r="E242" s="25"/>
    </row>
    <row r="243">
      <c r="A243" s="24"/>
      <c r="B243" s="24"/>
      <c r="C243" s="24"/>
      <c r="D243" s="24"/>
      <c r="E243" s="25"/>
    </row>
    <row r="244">
      <c r="A244" s="24"/>
      <c r="B244" s="24"/>
      <c r="C244" s="24"/>
      <c r="D244" s="24"/>
      <c r="E244" s="25"/>
    </row>
    <row r="245">
      <c r="A245" s="24"/>
      <c r="B245" s="24"/>
      <c r="C245" s="24"/>
      <c r="D245" s="24"/>
      <c r="E245" s="25"/>
    </row>
    <row r="246">
      <c r="A246" s="24"/>
      <c r="B246" s="24"/>
      <c r="C246" s="24"/>
      <c r="D246" s="24"/>
      <c r="E246" s="25"/>
    </row>
    <row r="247">
      <c r="A247" s="24"/>
      <c r="B247" s="24"/>
      <c r="C247" s="24"/>
      <c r="D247" s="24"/>
      <c r="E247" s="25"/>
    </row>
    <row r="248">
      <c r="A248" s="24"/>
      <c r="B248" s="24"/>
      <c r="C248" s="24"/>
      <c r="D248" s="24"/>
      <c r="E248" s="25"/>
    </row>
    <row r="249">
      <c r="A249" s="24"/>
      <c r="B249" s="24"/>
      <c r="C249" s="24"/>
      <c r="D249" s="24"/>
      <c r="E249" s="25"/>
    </row>
    <row r="250">
      <c r="A250" s="24"/>
      <c r="B250" s="24"/>
      <c r="C250" s="24"/>
      <c r="D250" s="24"/>
      <c r="E250" s="25"/>
    </row>
    <row r="251">
      <c r="A251" s="24"/>
      <c r="B251" s="24"/>
      <c r="C251" s="24"/>
      <c r="D251" s="24"/>
      <c r="E251" s="25"/>
    </row>
    <row r="252">
      <c r="A252" s="24"/>
      <c r="B252" s="24"/>
      <c r="C252" s="24"/>
      <c r="D252" s="24"/>
      <c r="E252" s="25"/>
    </row>
    <row r="253">
      <c r="A253" s="24"/>
      <c r="B253" s="24"/>
      <c r="C253" s="24"/>
      <c r="D253" s="24"/>
      <c r="E253" s="25"/>
    </row>
    <row r="254">
      <c r="A254" s="24"/>
      <c r="B254" s="24"/>
      <c r="C254" s="24"/>
      <c r="D254" s="24"/>
      <c r="E254" s="25"/>
    </row>
    <row r="255">
      <c r="A255" s="24"/>
      <c r="B255" s="24"/>
      <c r="C255" s="24"/>
      <c r="D255" s="24"/>
      <c r="E255" s="25"/>
    </row>
    <row r="256">
      <c r="A256" s="24"/>
      <c r="B256" s="24"/>
      <c r="C256" s="24"/>
      <c r="D256" s="24"/>
      <c r="E256" s="25"/>
    </row>
    <row r="257">
      <c r="A257" s="24"/>
      <c r="B257" s="24"/>
      <c r="C257" s="24"/>
      <c r="D257" s="24"/>
      <c r="E257" s="25"/>
    </row>
    <row r="258">
      <c r="A258" s="24"/>
      <c r="B258" s="24"/>
      <c r="C258" s="24"/>
      <c r="D258" s="24"/>
      <c r="E258" s="25"/>
    </row>
    <row r="259">
      <c r="A259" s="24"/>
      <c r="B259" s="24"/>
      <c r="C259" s="24"/>
      <c r="D259" s="24"/>
      <c r="E259" s="25"/>
    </row>
    <row r="260">
      <c r="A260" s="24"/>
      <c r="B260" s="24"/>
      <c r="C260" s="24"/>
      <c r="D260" s="24"/>
      <c r="E260" s="25"/>
    </row>
    <row r="261">
      <c r="A261" s="24"/>
      <c r="B261" s="24"/>
      <c r="C261" s="24"/>
      <c r="D261" s="24"/>
      <c r="E261" s="25"/>
    </row>
    <row r="262">
      <c r="A262" s="24"/>
      <c r="B262" s="24"/>
      <c r="C262" s="24"/>
      <c r="D262" s="24"/>
      <c r="E262" s="25"/>
    </row>
    <row r="263">
      <c r="A263" s="24"/>
      <c r="B263" s="24"/>
      <c r="C263" s="24"/>
      <c r="D263" s="24"/>
      <c r="E263" s="25"/>
    </row>
    <row r="264">
      <c r="A264" s="24"/>
      <c r="B264" s="24"/>
      <c r="C264" s="24"/>
      <c r="D264" s="24"/>
      <c r="E264" s="25"/>
    </row>
    <row r="265">
      <c r="A265" s="24"/>
      <c r="B265" s="24"/>
      <c r="C265" s="24"/>
      <c r="D265" s="24"/>
      <c r="E265" s="25"/>
    </row>
    <row r="266">
      <c r="A266" s="24"/>
      <c r="B266" s="24"/>
      <c r="C266" s="24"/>
      <c r="D266" s="24"/>
      <c r="E266" s="25"/>
    </row>
    <row r="267">
      <c r="A267" s="24"/>
      <c r="B267" s="24"/>
      <c r="C267" s="24"/>
      <c r="D267" s="24"/>
      <c r="E267" s="25"/>
    </row>
    <row r="268">
      <c r="A268" s="24"/>
      <c r="B268" s="24"/>
      <c r="C268" s="24"/>
      <c r="D268" s="24"/>
      <c r="E268" s="25"/>
    </row>
    <row r="269">
      <c r="A269" s="24"/>
      <c r="B269" s="24"/>
      <c r="C269" s="24"/>
      <c r="D269" s="24"/>
      <c r="E269" s="25"/>
    </row>
    <row r="270">
      <c r="A270" s="24"/>
      <c r="B270" s="24"/>
      <c r="C270" s="24"/>
      <c r="D270" s="24"/>
      <c r="E270" s="25"/>
    </row>
    <row r="271">
      <c r="A271" s="24"/>
      <c r="B271" s="24"/>
      <c r="C271" s="24"/>
      <c r="D271" s="24"/>
      <c r="E271" s="25"/>
    </row>
    <row r="272">
      <c r="A272" s="24"/>
      <c r="B272" s="24"/>
      <c r="C272" s="24"/>
      <c r="D272" s="24"/>
      <c r="E272" s="25"/>
    </row>
    <row r="273">
      <c r="A273" s="24"/>
      <c r="B273" s="24"/>
      <c r="C273" s="24"/>
      <c r="D273" s="24"/>
      <c r="E273" s="25"/>
    </row>
    <row r="274">
      <c r="A274" s="24"/>
      <c r="B274" s="24"/>
      <c r="C274" s="24"/>
      <c r="D274" s="24"/>
      <c r="E274" s="25"/>
    </row>
    <row r="275">
      <c r="A275" s="24"/>
      <c r="B275" s="24"/>
      <c r="C275" s="24"/>
      <c r="D275" s="24"/>
      <c r="E275" s="25"/>
    </row>
    <row r="276">
      <c r="A276" s="24"/>
      <c r="B276" s="24"/>
      <c r="C276" s="24"/>
      <c r="D276" s="24"/>
      <c r="E276" s="25"/>
    </row>
    <row r="277">
      <c r="A277" s="24"/>
      <c r="B277" s="24"/>
      <c r="C277" s="24"/>
      <c r="D277" s="24"/>
      <c r="E277" s="25"/>
    </row>
    <row r="278">
      <c r="A278" s="24"/>
      <c r="B278" s="24"/>
      <c r="C278" s="24"/>
      <c r="D278" s="24"/>
      <c r="E278" s="25"/>
    </row>
    <row r="279">
      <c r="A279" s="24"/>
      <c r="B279" s="24"/>
      <c r="C279" s="24"/>
      <c r="D279" s="24"/>
      <c r="E279" s="25"/>
    </row>
    <row r="280">
      <c r="A280" s="24"/>
      <c r="B280" s="24"/>
      <c r="C280" s="24"/>
      <c r="D280" s="24"/>
      <c r="E280" s="25"/>
    </row>
    <row r="281">
      <c r="A281" s="24"/>
      <c r="B281" s="24"/>
      <c r="C281" s="24"/>
      <c r="D281" s="24"/>
      <c r="E281" s="25"/>
    </row>
    <row r="282">
      <c r="A282" s="24"/>
      <c r="B282" s="24"/>
      <c r="C282" s="24"/>
      <c r="D282" s="24"/>
      <c r="E282" s="25"/>
    </row>
    <row r="283">
      <c r="A283" s="24"/>
      <c r="B283" s="24"/>
      <c r="C283" s="24"/>
      <c r="D283" s="24"/>
      <c r="E283" s="25"/>
    </row>
    <row r="284">
      <c r="A284" s="24"/>
      <c r="B284" s="24"/>
      <c r="C284" s="24"/>
      <c r="D284" s="24"/>
      <c r="E284" s="25"/>
    </row>
    <row r="285">
      <c r="A285" s="24"/>
      <c r="B285" s="24"/>
      <c r="C285" s="24"/>
      <c r="D285" s="24"/>
      <c r="E285" s="25"/>
    </row>
    <row r="286">
      <c r="A286" s="24"/>
      <c r="B286" s="24"/>
      <c r="C286" s="24"/>
      <c r="D286" s="24"/>
      <c r="E286" s="25"/>
    </row>
    <row r="287">
      <c r="A287" s="24"/>
      <c r="B287" s="24"/>
      <c r="C287" s="24"/>
      <c r="D287" s="24"/>
      <c r="E287" s="25"/>
    </row>
    <row r="288">
      <c r="A288" s="24"/>
      <c r="B288" s="24"/>
      <c r="C288" s="24"/>
      <c r="D288" s="24"/>
      <c r="E288" s="25"/>
    </row>
    <row r="289">
      <c r="A289" s="24"/>
      <c r="B289" s="24"/>
      <c r="C289" s="24"/>
      <c r="D289" s="24"/>
      <c r="E289" s="25"/>
    </row>
    <row r="290">
      <c r="A290" s="24"/>
      <c r="B290" s="24"/>
      <c r="C290" s="24"/>
      <c r="D290" s="24"/>
      <c r="E290" s="25"/>
    </row>
    <row r="291">
      <c r="A291" s="24"/>
      <c r="B291" s="24"/>
      <c r="C291" s="24"/>
      <c r="D291" s="24"/>
      <c r="E291" s="25"/>
    </row>
    <row r="292">
      <c r="A292" s="24"/>
      <c r="B292" s="24"/>
      <c r="C292" s="24"/>
      <c r="D292" s="24"/>
      <c r="E292" s="25"/>
    </row>
    <row r="293">
      <c r="A293" s="24"/>
      <c r="B293" s="24"/>
      <c r="C293" s="24"/>
      <c r="D293" s="24"/>
      <c r="E293" s="25"/>
    </row>
    <row r="294">
      <c r="A294" s="24"/>
      <c r="B294" s="24"/>
      <c r="C294" s="24"/>
      <c r="D294" s="24"/>
      <c r="E294" s="25"/>
    </row>
    <row r="295">
      <c r="A295" s="24"/>
      <c r="B295" s="24"/>
      <c r="C295" s="24"/>
      <c r="D295" s="24"/>
      <c r="E295" s="25"/>
    </row>
    <row r="296">
      <c r="A296" s="24"/>
      <c r="B296" s="24"/>
      <c r="C296" s="24"/>
      <c r="D296" s="24"/>
      <c r="E296" s="25"/>
    </row>
    <row r="297">
      <c r="A297" s="24"/>
      <c r="B297" s="24"/>
      <c r="C297" s="24"/>
      <c r="D297" s="24"/>
      <c r="E297" s="25"/>
    </row>
    <row r="298">
      <c r="A298" s="24"/>
      <c r="B298" s="24"/>
      <c r="C298" s="24"/>
      <c r="D298" s="24"/>
      <c r="E298" s="25"/>
    </row>
    <row r="299">
      <c r="A299" s="24"/>
      <c r="B299" s="24"/>
      <c r="C299" s="24"/>
      <c r="D299" s="24"/>
      <c r="E299" s="25"/>
    </row>
    <row r="300">
      <c r="A300" s="24"/>
      <c r="B300" s="24"/>
      <c r="C300" s="24"/>
      <c r="D300" s="24"/>
      <c r="E300" s="25"/>
    </row>
    <row r="301">
      <c r="A301" s="24"/>
      <c r="B301" s="24"/>
      <c r="C301" s="24"/>
      <c r="D301" s="24"/>
      <c r="E301" s="25"/>
    </row>
    <row r="302">
      <c r="A302" s="24"/>
      <c r="B302" s="24"/>
      <c r="C302" s="24"/>
      <c r="D302" s="24"/>
      <c r="E302" s="25"/>
    </row>
    <row r="303">
      <c r="A303" s="24"/>
      <c r="B303" s="24"/>
      <c r="C303" s="24"/>
      <c r="D303" s="24"/>
      <c r="E303" s="25"/>
    </row>
    <row r="304">
      <c r="A304" s="24"/>
      <c r="B304" s="24"/>
      <c r="C304" s="24"/>
      <c r="D304" s="24"/>
      <c r="E304" s="25"/>
    </row>
    <row r="305">
      <c r="A305" s="24"/>
      <c r="B305" s="24"/>
      <c r="C305" s="24"/>
      <c r="D305" s="24"/>
      <c r="E305" s="25"/>
    </row>
    <row r="306">
      <c r="A306" s="24"/>
      <c r="B306" s="24"/>
      <c r="C306" s="24"/>
      <c r="D306" s="24"/>
      <c r="E306" s="25"/>
    </row>
    <row r="307">
      <c r="A307" s="24"/>
      <c r="B307" s="24"/>
      <c r="C307" s="24"/>
      <c r="D307" s="24"/>
      <c r="E307" s="25"/>
    </row>
    <row r="308">
      <c r="A308" s="24"/>
      <c r="B308" s="24"/>
      <c r="C308" s="24"/>
      <c r="D308" s="24"/>
      <c r="E308" s="25"/>
    </row>
    <row r="309">
      <c r="A309" s="24"/>
      <c r="B309" s="24"/>
      <c r="C309" s="24"/>
      <c r="D309" s="24"/>
      <c r="E309" s="25"/>
    </row>
    <row r="310">
      <c r="A310" s="24"/>
      <c r="B310" s="24"/>
      <c r="C310" s="24"/>
      <c r="D310" s="24"/>
      <c r="E310" s="25"/>
    </row>
    <row r="311">
      <c r="A311" s="24"/>
      <c r="B311" s="24"/>
      <c r="C311" s="24"/>
      <c r="D311" s="24"/>
      <c r="E311" s="25"/>
    </row>
    <row r="312">
      <c r="A312" s="24"/>
      <c r="B312" s="24"/>
      <c r="C312" s="24"/>
      <c r="D312" s="24"/>
      <c r="E312" s="25"/>
    </row>
    <row r="313">
      <c r="A313" s="24"/>
      <c r="B313" s="24"/>
      <c r="C313" s="24"/>
      <c r="D313" s="24"/>
      <c r="E313" s="25"/>
    </row>
    <row r="314">
      <c r="A314" s="24"/>
      <c r="B314" s="24"/>
      <c r="C314" s="24"/>
      <c r="D314" s="24"/>
      <c r="E314" s="25"/>
    </row>
    <row r="315">
      <c r="A315" s="24"/>
      <c r="B315" s="24"/>
      <c r="C315" s="24"/>
      <c r="D315" s="24"/>
      <c r="E315" s="25"/>
    </row>
    <row r="316">
      <c r="A316" s="24"/>
      <c r="B316" s="24"/>
      <c r="C316" s="24"/>
      <c r="D316" s="24"/>
      <c r="E316" s="25"/>
    </row>
    <row r="317">
      <c r="A317" s="24"/>
      <c r="B317" s="24"/>
      <c r="C317" s="24"/>
      <c r="D317" s="24"/>
      <c r="E317" s="25"/>
    </row>
    <row r="318">
      <c r="A318" s="24"/>
      <c r="B318" s="24"/>
      <c r="C318" s="24"/>
      <c r="D318" s="24"/>
      <c r="E318" s="25"/>
    </row>
    <row r="319">
      <c r="A319" s="24"/>
      <c r="B319" s="24"/>
      <c r="C319" s="24"/>
      <c r="D319" s="24"/>
      <c r="E319" s="25"/>
    </row>
    <row r="320">
      <c r="A320" s="24"/>
      <c r="B320" s="24"/>
      <c r="C320" s="24"/>
      <c r="D320" s="24"/>
      <c r="E320" s="25"/>
    </row>
    <row r="321">
      <c r="A321" s="24"/>
      <c r="B321" s="24"/>
      <c r="C321" s="24"/>
      <c r="D321" s="24"/>
      <c r="E321" s="25"/>
    </row>
    <row r="322">
      <c r="A322" s="24"/>
      <c r="B322" s="24"/>
      <c r="C322" s="24"/>
      <c r="D322" s="24"/>
      <c r="E322" s="25"/>
    </row>
    <row r="323">
      <c r="A323" s="24"/>
      <c r="B323" s="24"/>
      <c r="C323" s="24"/>
      <c r="D323" s="24"/>
      <c r="E323" s="25"/>
    </row>
    <row r="324">
      <c r="A324" s="24"/>
      <c r="B324" s="24"/>
      <c r="C324" s="24"/>
      <c r="D324" s="24"/>
      <c r="E324" s="25"/>
    </row>
    <row r="325">
      <c r="A325" s="24"/>
      <c r="B325" s="24"/>
      <c r="C325" s="24"/>
      <c r="D325" s="24"/>
      <c r="E325" s="25"/>
    </row>
    <row r="326">
      <c r="A326" s="24"/>
      <c r="B326" s="24"/>
      <c r="C326" s="24"/>
      <c r="D326" s="24"/>
      <c r="E326" s="25"/>
    </row>
    <row r="327">
      <c r="A327" s="24"/>
      <c r="B327" s="24"/>
      <c r="C327" s="24"/>
      <c r="D327" s="24"/>
      <c r="E327" s="25"/>
    </row>
    <row r="328">
      <c r="A328" s="24"/>
      <c r="B328" s="24"/>
      <c r="C328" s="24"/>
      <c r="D328" s="24"/>
      <c r="E328" s="25"/>
    </row>
    <row r="329">
      <c r="A329" s="24"/>
      <c r="B329" s="24"/>
      <c r="C329" s="24"/>
      <c r="D329" s="24"/>
      <c r="E329" s="25"/>
    </row>
    <row r="330">
      <c r="A330" s="24"/>
      <c r="B330" s="24"/>
      <c r="C330" s="24"/>
      <c r="D330" s="24"/>
      <c r="E330" s="25"/>
    </row>
    <row r="331">
      <c r="A331" s="24"/>
      <c r="B331" s="24"/>
      <c r="C331" s="24"/>
      <c r="D331" s="24"/>
      <c r="E331" s="25"/>
    </row>
    <row r="332">
      <c r="A332" s="24"/>
      <c r="B332" s="24"/>
      <c r="C332" s="24"/>
      <c r="D332" s="24"/>
      <c r="E332" s="25"/>
    </row>
    <row r="333">
      <c r="A333" s="24"/>
      <c r="B333" s="24"/>
      <c r="C333" s="24"/>
      <c r="D333" s="24"/>
      <c r="E333" s="25"/>
    </row>
    <row r="334">
      <c r="A334" s="24"/>
      <c r="B334" s="24"/>
      <c r="C334" s="24"/>
      <c r="D334" s="24"/>
      <c r="E334" s="25"/>
    </row>
    <row r="335">
      <c r="A335" s="24"/>
      <c r="B335" s="24"/>
      <c r="C335" s="24"/>
      <c r="D335" s="24"/>
      <c r="E335" s="25"/>
    </row>
    <row r="336">
      <c r="A336" s="24"/>
      <c r="B336" s="24"/>
      <c r="C336" s="24"/>
      <c r="D336" s="24"/>
      <c r="E336" s="25"/>
    </row>
    <row r="337">
      <c r="A337" s="24"/>
      <c r="B337" s="24"/>
      <c r="C337" s="24"/>
      <c r="D337" s="24"/>
      <c r="E337" s="25"/>
    </row>
    <row r="338">
      <c r="A338" s="24"/>
      <c r="B338" s="24"/>
      <c r="C338" s="24"/>
      <c r="D338" s="24"/>
      <c r="E338" s="25"/>
    </row>
    <row r="339">
      <c r="A339" s="24"/>
      <c r="B339" s="24"/>
      <c r="C339" s="24"/>
      <c r="D339" s="24"/>
      <c r="E339" s="25"/>
    </row>
    <row r="340">
      <c r="A340" s="24"/>
      <c r="B340" s="24"/>
      <c r="C340" s="24"/>
      <c r="D340" s="24"/>
      <c r="E340" s="25"/>
    </row>
    <row r="341">
      <c r="A341" s="24"/>
      <c r="B341" s="24"/>
      <c r="C341" s="24"/>
      <c r="D341" s="24"/>
      <c r="E341" s="25"/>
    </row>
    <row r="342">
      <c r="A342" s="24"/>
      <c r="B342" s="24"/>
      <c r="C342" s="24"/>
      <c r="D342" s="24"/>
      <c r="E342" s="25"/>
    </row>
    <row r="343">
      <c r="A343" s="24"/>
      <c r="B343" s="24"/>
      <c r="C343" s="24"/>
      <c r="D343" s="24"/>
      <c r="E343" s="25"/>
    </row>
    <row r="344">
      <c r="A344" s="24"/>
      <c r="B344" s="24"/>
      <c r="C344" s="24"/>
      <c r="D344" s="24"/>
      <c r="E344" s="25"/>
    </row>
    <row r="345">
      <c r="A345" s="24"/>
      <c r="B345" s="24"/>
      <c r="C345" s="24"/>
      <c r="D345" s="24"/>
      <c r="E345" s="25"/>
    </row>
    <row r="346">
      <c r="A346" s="24"/>
      <c r="B346" s="24"/>
      <c r="C346" s="24"/>
      <c r="D346" s="24"/>
      <c r="E346" s="25"/>
    </row>
    <row r="347">
      <c r="A347" s="24"/>
      <c r="B347" s="24"/>
      <c r="C347" s="24"/>
      <c r="D347" s="24"/>
      <c r="E347" s="25"/>
    </row>
    <row r="348">
      <c r="A348" s="24"/>
      <c r="B348" s="24"/>
      <c r="C348" s="24"/>
      <c r="D348" s="24"/>
      <c r="E348" s="25"/>
    </row>
    <row r="349">
      <c r="A349" s="24"/>
      <c r="B349" s="24"/>
      <c r="C349" s="24"/>
      <c r="D349" s="24"/>
      <c r="E349" s="25"/>
    </row>
    <row r="350">
      <c r="A350" s="24"/>
      <c r="B350" s="24"/>
      <c r="C350" s="24"/>
      <c r="D350" s="24"/>
      <c r="E350" s="25"/>
    </row>
    <row r="351">
      <c r="A351" s="24"/>
      <c r="B351" s="24"/>
      <c r="C351" s="24"/>
      <c r="D351" s="24"/>
      <c r="E351" s="25"/>
    </row>
    <row r="352">
      <c r="A352" s="24"/>
      <c r="B352" s="24"/>
      <c r="C352" s="24"/>
      <c r="D352" s="24"/>
      <c r="E352" s="25"/>
    </row>
    <row r="353">
      <c r="A353" s="24"/>
      <c r="B353" s="24"/>
      <c r="C353" s="24"/>
      <c r="D353" s="24"/>
      <c r="E353" s="25"/>
    </row>
    <row r="354">
      <c r="A354" s="24"/>
      <c r="B354" s="24"/>
      <c r="C354" s="24"/>
      <c r="D354" s="24"/>
      <c r="E354" s="25"/>
    </row>
    <row r="355">
      <c r="A355" s="24"/>
      <c r="B355" s="24"/>
      <c r="C355" s="24"/>
      <c r="D355" s="24"/>
      <c r="E355" s="25"/>
    </row>
    <row r="356">
      <c r="A356" s="24"/>
      <c r="B356" s="24"/>
      <c r="C356" s="24"/>
      <c r="D356" s="24"/>
      <c r="E356" s="25"/>
    </row>
    <row r="357">
      <c r="A357" s="24"/>
      <c r="B357" s="24"/>
      <c r="C357" s="24"/>
      <c r="D357" s="24"/>
      <c r="E357" s="25"/>
    </row>
    <row r="358">
      <c r="A358" s="24"/>
      <c r="B358" s="24"/>
      <c r="C358" s="24"/>
      <c r="D358" s="24"/>
      <c r="E358" s="25"/>
    </row>
    <row r="359">
      <c r="A359" s="24"/>
      <c r="B359" s="24"/>
      <c r="C359" s="24"/>
      <c r="D359" s="24"/>
      <c r="E359" s="25"/>
    </row>
    <row r="360">
      <c r="A360" s="24"/>
      <c r="B360" s="24"/>
      <c r="C360" s="24"/>
      <c r="D360" s="24"/>
      <c r="E360" s="25"/>
    </row>
    <row r="361">
      <c r="A361" s="24"/>
      <c r="B361" s="24"/>
      <c r="C361" s="24"/>
      <c r="D361" s="24"/>
      <c r="E361" s="25"/>
    </row>
    <row r="362">
      <c r="A362" s="24"/>
      <c r="B362" s="24"/>
      <c r="C362" s="24"/>
      <c r="D362" s="24"/>
      <c r="E362" s="25"/>
    </row>
    <row r="363">
      <c r="A363" s="24"/>
      <c r="B363" s="24"/>
      <c r="C363" s="24"/>
      <c r="D363" s="24"/>
      <c r="E363" s="25"/>
    </row>
    <row r="364">
      <c r="A364" s="24"/>
      <c r="B364" s="24"/>
      <c r="C364" s="24"/>
      <c r="D364" s="24"/>
      <c r="E364" s="25"/>
    </row>
    <row r="365">
      <c r="A365" s="24"/>
      <c r="B365" s="24"/>
      <c r="C365" s="24"/>
      <c r="D365" s="24"/>
      <c r="E365" s="25"/>
    </row>
    <row r="366">
      <c r="A366" s="24"/>
      <c r="B366" s="24"/>
      <c r="C366" s="24"/>
      <c r="D366" s="24"/>
      <c r="E366" s="25"/>
    </row>
    <row r="367">
      <c r="A367" s="24"/>
      <c r="B367" s="24"/>
      <c r="C367" s="24"/>
      <c r="D367" s="24"/>
      <c r="E367" s="25"/>
    </row>
    <row r="368">
      <c r="A368" s="24"/>
      <c r="B368" s="24"/>
      <c r="C368" s="24"/>
      <c r="D368" s="24"/>
      <c r="E368" s="25"/>
    </row>
    <row r="369">
      <c r="A369" s="24"/>
      <c r="B369" s="24"/>
      <c r="C369" s="24"/>
      <c r="D369" s="24"/>
      <c r="E369" s="25"/>
    </row>
    <row r="370">
      <c r="A370" s="24"/>
      <c r="B370" s="24"/>
      <c r="C370" s="24"/>
      <c r="D370" s="24"/>
      <c r="E370" s="25"/>
    </row>
    <row r="371">
      <c r="A371" s="24"/>
      <c r="B371" s="24"/>
      <c r="C371" s="24"/>
      <c r="D371" s="24"/>
      <c r="E371" s="25"/>
    </row>
    <row r="372">
      <c r="A372" s="24"/>
      <c r="B372" s="24"/>
      <c r="C372" s="24"/>
      <c r="D372" s="24"/>
      <c r="E372" s="25"/>
    </row>
    <row r="373">
      <c r="A373" s="24"/>
      <c r="B373" s="24"/>
      <c r="C373" s="24"/>
      <c r="D373" s="24"/>
      <c r="E373" s="25"/>
    </row>
    <row r="374">
      <c r="A374" s="24"/>
      <c r="B374" s="24"/>
      <c r="C374" s="24"/>
      <c r="D374" s="24"/>
      <c r="E374" s="25"/>
    </row>
    <row r="375">
      <c r="A375" s="24"/>
      <c r="B375" s="24"/>
      <c r="C375" s="24"/>
      <c r="D375" s="24"/>
      <c r="E375" s="25"/>
    </row>
    <row r="376">
      <c r="A376" s="24"/>
      <c r="B376" s="24"/>
      <c r="C376" s="24"/>
      <c r="D376" s="24"/>
      <c r="E376" s="25"/>
    </row>
    <row r="377">
      <c r="A377" s="24"/>
      <c r="B377" s="24"/>
      <c r="C377" s="24"/>
      <c r="D377" s="24"/>
      <c r="E377" s="25"/>
    </row>
    <row r="378">
      <c r="A378" s="24"/>
      <c r="B378" s="24"/>
      <c r="C378" s="24"/>
      <c r="D378" s="24"/>
      <c r="E378" s="25"/>
    </row>
    <row r="379">
      <c r="A379" s="24"/>
      <c r="B379" s="24"/>
      <c r="C379" s="24"/>
      <c r="D379" s="24"/>
      <c r="E379" s="25"/>
    </row>
    <row r="380">
      <c r="A380" s="24"/>
      <c r="B380" s="24"/>
      <c r="C380" s="24"/>
      <c r="D380" s="24"/>
      <c r="E380" s="25"/>
    </row>
    <row r="381">
      <c r="A381" s="24"/>
      <c r="B381" s="24"/>
      <c r="C381" s="24"/>
      <c r="D381" s="24"/>
      <c r="E381" s="25"/>
    </row>
    <row r="382">
      <c r="A382" s="24"/>
      <c r="B382" s="24"/>
      <c r="C382" s="24"/>
      <c r="D382" s="24"/>
      <c r="E382" s="25"/>
    </row>
    <row r="383">
      <c r="A383" s="24"/>
      <c r="B383" s="24"/>
      <c r="C383" s="24"/>
      <c r="D383" s="24"/>
      <c r="E383" s="25"/>
    </row>
    <row r="384">
      <c r="A384" s="24"/>
      <c r="B384" s="24"/>
      <c r="C384" s="24"/>
      <c r="D384" s="24"/>
      <c r="E384" s="25"/>
    </row>
    <row r="385">
      <c r="A385" s="24"/>
      <c r="B385" s="24"/>
      <c r="C385" s="24"/>
      <c r="D385" s="24"/>
      <c r="E385" s="25"/>
    </row>
    <row r="386">
      <c r="A386" s="24"/>
      <c r="B386" s="24"/>
      <c r="C386" s="24"/>
      <c r="D386" s="24"/>
      <c r="E386" s="25"/>
    </row>
    <row r="387">
      <c r="A387" s="24"/>
      <c r="B387" s="24"/>
      <c r="C387" s="24"/>
      <c r="D387" s="24"/>
      <c r="E387" s="25"/>
    </row>
    <row r="388">
      <c r="A388" s="24"/>
      <c r="B388" s="24"/>
      <c r="C388" s="24"/>
      <c r="D388" s="24"/>
      <c r="E388" s="25"/>
    </row>
    <row r="389">
      <c r="A389" s="24"/>
      <c r="B389" s="24"/>
      <c r="C389" s="24"/>
      <c r="D389" s="24"/>
      <c r="E389" s="25"/>
    </row>
    <row r="390">
      <c r="A390" s="24"/>
      <c r="B390" s="24"/>
      <c r="C390" s="24"/>
      <c r="D390" s="24"/>
      <c r="E390" s="25"/>
    </row>
    <row r="391">
      <c r="A391" s="24"/>
      <c r="B391" s="24"/>
      <c r="C391" s="24"/>
      <c r="D391" s="24"/>
      <c r="E391" s="25"/>
    </row>
    <row r="392">
      <c r="A392" s="24"/>
      <c r="B392" s="24"/>
      <c r="C392" s="24"/>
      <c r="D392" s="24"/>
      <c r="E392" s="25"/>
    </row>
    <row r="393">
      <c r="A393" s="24"/>
      <c r="B393" s="24"/>
      <c r="C393" s="24"/>
      <c r="D393" s="24"/>
      <c r="E393" s="25"/>
    </row>
    <row r="394">
      <c r="A394" s="24"/>
      <c r="B394" s="24"/>
      <c r="C394" s="24"/>
      <c r="D394" s="24"/>
      <c r="E394" s="25"/>
    </row>
    <row r="395">
      <c r="A395" s="24"/>
      <c r="B395" s="24"/>
      <c r="C395" s="24"/>
      <c r="D395" s="24"/>
      <c r="E395" s="25"/>
    </row>
    <row r="396">
      <c r="A396" s="24"/>
      <c r="B396" s="24"/>
      <c r="C396" s="24"/>
      <c r="D396" s="24"/>
      <c r="E396" s="25"/>
    </row>
    <row r="397">
      <c r="A397" s="24"/>
      <c r="B397" s="24"/>
      <c r="C397" s="24"/>
      <c r="D397" s="24"/>
      <c r="E397" s="25"/>
    </row>
    <row r="398">
      <c r="A398" s="24"/>
      <c r="B398" s="24"/>
      <c r="C398" s="24"/>
      <c r="D398" s="24"/>
      <c r="E398" s="25"/>
    </row>
    <row r="399">
      <c r="A399" s="24"/>
      <c r="B399" s="24"/>
      <c r="C399" s="24"/>
      <c r="D399" s="24"/>
      <c r="E399" s="25"/>
    </row>
    <row r="400">
      <c r="A400" s="24"/>
      <c r="B400" s="24"/>
      <c r="C400" s="24"/>
      <c r="D400" s="24"/>
      <c r="E400" s="25"/>
    </row>
    <row r="401">
      <c r="A401" s="24"/>
      <c r="B401" s="24"/>
      <c r="C401" s="24"/>
      <c r="D401" s="24"/>
      <c r="E401" s="25"/>
    </row>
    <row r="402">
      <c r="A402" s="24"/>
      <c r="B402" s="24"/>
      <c r="C402" s="24"/>
      <c r="D402" s="24"/>
      <c r="E402" s="25"/>
    </row>
    <row r="403">
      <c r="A403" s="24"/>
      <c r="B403" s="24"/>
      <c r="C403" s="24"/>
      <c r="D403" s="24"/>
      <c r="E403" s="25"/>
    </row>
    <row r="404">
      <c r="A404" s="24"/>
      <c r="B404" s="24"/>
      <c r="C404" s="24"/>
      <c r="D404" s="24"/>
      <c r="E404" s="25"/>
    </row>
    <row r="405">
      <c r="A405" s="24"/>
      <c r="B405" s="24"/>
      <c r="C405" s="24"/>
      <c r="D405" s="24"/>
      <c r="E405" s="25"/>
    </row>
    <row r="406">
      <c r="A406" s="24"/>
      <c r="B406" s="24"/>
      <c r="C406" s="24"/>
      <c r="D406" s="24"/>
      <c r="E406" s="25"/>
    </row>
    <row r="407">
      <c r="A407" s="24"/>
      <c r="B407" s="24"/>
      <c r="C407" s="24"/>
      <c r="D407" s="24"/>
      <c r="E407" s="25"/>
    </row>
    <row r="408">
      <c r="A408" s="24"/>
      <c r="B408" s="24"/>
      <c r="C408" s="24"/>
      <c r="D408" s="24"/>
      <c r="E408" s="25"/>
    </row>
    <row r="409">
      <c r="A409" s="24"/>
      <c r="B409" s="24"/>
      <c r="C409" s="24"/>
      <c r="D409" s="24"/>
      <c r="E409" s="25"/>
    </row>
    <row r="410">
      <c r="A410" s="24"/>
      <c r="B410" s="24"/>
      <c r="C410" s="24"/>
      <c r="D410" s="24"/>
      <c r="E410" s="25"/>
    </row>
    <row r="411">
      <c r="A411" s="24"/>
      <c r="B411" s="24"/>
      <c r="C411" s="24"/>
      <c r="D411" s="24"/>
      <c r="E411" s="25"/>
    </row>
    <row r="412">
      <c r="A412" s="24"/>
      <c r="B412" s="24"/>
      <c r="C412" s="24"/>
      <c r="D412" s="24"/>
      <c r="E412" s="25"/>
    </row>
    <row r="413">
      <c r="A413" s="24"/>
      <c r="B413" s="24"/>
      <c r="C413" s="24"/>
      <c r="D413" s="24"/>
      <c r="E413" s="25"/>
    </row>
    <row r="414">
      <c r="A414" s="24"/>
      <c r="B414" s="24"/>
      <c r="C414" s="24"/>
      <c r="D414" s="24"/>
      <c r="E414" s="25"/>
    </row>
    <row r="415">
      <c r="A415" s="24"/>
      <c r="B415" s="24"/>
      <c r="C415" s="24"/>
      <c r="D415" s="24"/>
      <c r="E415" s="25"/>
    </row>
    <row r="416">
      <c r="A416" s="24"/>
      <c r="B416" s="24"/>
      <c r="C416" s="24"/>
      <c r="D416" s="24"/>
      <c r="E416" s="25"/>
    </row>
    <row r="417">
      <c r="A417" s="24"/>
      <c r="B417" s="24"/>
      <c r="C417" s="24"/>
      <c r="D417" s="24"/>
      <c r="E417" s="25"/>
    </row>
    <row r="418">
      <c r="A418" s="24"/>
      <c r="B418" s="24"/>
      <c r="C418" s="24"/>
      <c r="D418" s="24"/>
      <c r="E418" s="25"/>
    </row>
    <row r="419">
      <c r="A419" s="24"/>
      <c r="B419" s="24"/>
      <c r="C419" s="24"/>
      <c r="D419" s="24"/>
      <c r="E419" s="25"/>
    </row>
    <row r="420">
      <c r="A420" s="24"/>
      <c r="B420" s="24"/>
      <c r="C420" s="24"/>
      <c r="D420" s="24"/>
      <c r="E420" s="25"/>
    </row>
    <row r="421">
      <c r="A421" s="24"/>
      <c r="B421" s="24"/>
      <c r="C421" s="24"/>
      <c r="D421" s="24"/>
      <c r="E421" s="25"/>
    </row>
    <row r="422">
      <c r="A422" s="24"/>
      <c r="B422" s="24"/>
      <c r="C422" s="24"/>
      <c r="D422" s="24"/>
      <c r="E422" s="25"/>
    </row>
    <row r="423">
      <c r="A423" s="24"/>
      <c r="B423" s="24"/>
      <c r="C423" s="24"/>
      <c r="D423" s="24"/>
      <c r="E423" s="25"/>
    </row>
    <row r="424">
      <c r="A424" s="24"/>
      <c r="B424" s="24"/>
      <c r="C424" s="24"/>
      <c r="D424" s="24"/>
      <c r="E424" s="25"/>
    </row>
    <row r="425">
      <c r="A425" s="24"/>
      <c r="B425" s="24"/>
      <c r="C425" s="24"/>
      <c r="D425" s="24"/>
      <c r="E425" s="25"/>
    </row>
    <row r="426">
      <c r="A426" s="24"/>
      <c r="B426" s="24"/>
      <c r="C426" s="24"/>
      <c r="D426" s="24"/>
      <c r="E426" s="25"/>
    </row>
    <row r="427">
      <c r="A427" s="24"/>
      <c r="B427" s="24"/>
      <c r="C427" s="24"/>
      <c r="D427" s="24"/>
      <c r="E427" s="25"/>
    </row>
    <row r="428">
      <c r="A428" s="24"/>
      <c r="B428" s="24"/>
      <c r="C428" s="24"/>
      <c r="D428" s="24"/>
      <c r="E428" s="25"/>
    </row>
    <row r="429">
      <c r="A429" s="24"/>
      <c r="B429" s="24"/>
      <c r="C429" s="24"/>
      <c r="D429" s="24"/>
      <c r="E429" s="25"/>
    </row>
    <row r="430">
      <c r="A430" s="24"/>
      <c r="B430" s="24"/>
      <c r="C430" s="24"/>
      <c r="D430" s="24"/>
      <c r="E430" s="25"/>
    </row>
    <row r="431">
      <c r="A431" s="24"/>
      <c r="B431" s="24"/>
      <c r="C431" s="24"/>
      <c r="D431" s="24"/>
      <c r="E431" s="25"/>
    </row>
    <row r="432">
      <c r="A432" s="24"/>
      <c r="B432" s="24"/>
      <c r="C432" s="24"/>
      <c r="D432" s="24"/>
      <c r="E432" s="25"/>
    </row>
    <row r="433">
      <c r="A433" s="24"/>
      <c r="B433" s="24"/>
      <c r="C433" s="24"/>
      <c r="D433" s="24"/>
      <c r="E433" s="25"/>
    </row>
    <row r="434">
      <c r="A434" s="24"/>
      <c r="B434" s="24"/>
      <c r="C434" s="24"/>
      <c r="D434" s="24"/>
      <c r="E434" s="25"/>
    </row>
    <row r="435">
      <c r="A435" s="24"/>
      <c r="B435" s="24"/>
      <c r="C435" s="24"/>
      <c r="D435" s="24"/>
      <c r="E435" s="25"/>
    </row>
    <row r="436">
      <c r="A436" s="24"/>
      <c r="B436" s="24"/>
      <c r="C436" s="24"/>
      <c r="D436" s="24"/>
      <c r="E436" s="25"/>
    </row>
    <row r="437">
      <c r="A437" s="24"/>
      <c r="B437" s="24"/>
      <c r="C437" s="24"/>
      <c r="D437" s="24"/>
      <c r="E437" s="25"/>
    </row>
    <row r="438">
      <c r="A438" s="24"/>
      <c r="B438" s="24"/>
      <c r="C438" s="24"/>
      <c r="D438" s="24"/>
      <c r="E438" s="25"/>
    </row>
    <row r="439">
      <c r="A439" s="24"/>
      <c r="B439" s="24"/>
      <c r="C439" s="24"/>
      <c r="D439" s="24"/>
      <c r="E439" s="25"/>
    </row>
    <row r="440">
      <c r="A440" s="24"/>
      <c r="B440" s="24"/>
      <c r="C440" s="24"/>
      <c r="D440" s="24"/>
      <c r="E440" s="25"/>
    </row>
    <row r="441">
      <c r="A441" s="24"/>
      <c r="B441" s="24"/>
      <c r="C441" s="24"/>
      <c r="D441" s="24"/>
      <c r="E441" s="25"/>
    </row>
    <row r="442">
      <c r="A442" s="24"/>
      <c r="B442" s="24"/>
      <c r="C442" s="24"/>
      <c r="D442" s="24"/>
      <c r="E442" s="25"/>
    </row>
    <row r="443">
      <c r="A443" s="24"/>
      <c r="B443" s="24"/>
      <c r="C443" s="24"/>
      <c r="D443" s="24"/>
      <c r="E443" s="25"/>
    </row>
    <row r="444">
      <c r="A444" s="24"/>
      <c r="B444" s="24"/>
      <c r="C444" s="24"/>
      <c r="D444" s="24"/>
      <c r="E444" s="25"/>
    </row>
    <row r="445">
      <c r="A445" s="24"/>
      <c r="B445" s="24"/>
      <c r="C445" s="24"/>
      <c r="D445" s="24"/>
      <c r="E445" s="25"/>
    </row>
    <row r="446">
      <c r="A446" s="24"/>
      <c r="B446" s="24"/>
      <c r="C446" s="24"/>
      <c r="D446" s="24"/>
      <c r="E446" s="25"/>
    </row>
    <row r="447">
      <c r="A447" s="24"/>
      <c r="B447" s="24"/>
      <c r="C447" s="24"/>
      <c r="D447" s="24"/>
      <c r="E447" s="25"/>
    </row>
    <row r="448">
      <c r="A448" s="24"/>
      <c r="B448" s="24"/>
      <c r="C448" s="24"/>
      <c r="D448" s="24"/>
      <c r="E448" s="25"/>
    </row>
    <row r="449">
      <c r="A449" s="24"/>
      <c r="B449" s="24"/>
      <c r="C449" s="24"/>
      <c r="D449" s="24"/>
      <c r="E449" s="25"/>
    </row>
    <row r="450">
      <c r="A450" s="24"/>
      <c r="B450" s="24"/>
      <c r="C450" s="24"/>
      <c r="D450" s="24"/>
      <c r="E450" s="25"/>
    </row>
    <row r="451">
      <c r="A451" s="24"/>
      <c r="B451" s="24"/>
      <c r="C451" s="24"/>
      <c r="D451" s="24"/>
      <c r="E451" s="25"/>
    </row>
    <row r="452">
      <c r="A452" s="24"/>
      <c r="B452" s="24"/>
      <c r="C452" s="24"/>
      <c r="D452" s="24"/>
      <c r="E452" s="25"/>
    </row>
    <row r="453">
      <c r="A453" s="24"/>
      <c r="B453" s="24"/>
      <c r="C453" s="24"/>
      <c r="D453" s="24"/>
      <c r="E453" s="25"/>
    </row>
    <row r="454">
      <c r="A454" s="24"/>
      <c r="B454" s="24"/>
      <c r="C454" s="24"/>
      <c r="D454" s="24"/>
      <c r="E454" s="25"/>
    </row>
    <row r="455">
      <c r="A455" s="24"/>
      <c r="B455" s="24"/>
      <c r="C455" s="24"/>
      <c r="D455" s="24"/>
      <c r="E455" s="25"/>
    </row>
    <row r="456">
      <c r="A456" s="24"/>
      <c r="B456" s="24"/>
      <c r="C456" s="24"/>
      <c r="D456" s="24"/>
      <c r="E456" s="25"/>
    </row>
    <row r="457">
      <c r="A457" s="24"/>
      <c r="B457" s="24"/>
      <c r="C457" s="24"/>
      <c r="D457" s="24"/>
      <c r="E457" s="25"/>
    </row>
    <row r="458">
      <c r="A458" s="24"/>
      <c r="B458" s="24"/>
      <c r="C458" s="24"/>
      <c r="D458" s="24"/>
      <c r="E458" s="25"/>
    </row>
    <row r="459">
      <c r="A459" s="24"/>
      <c r="B459" s="24"/>
      <c r="C459" s="24"/>
      <c r="D459" s="24"/>
      <c r="E459" s="25"/>
    </row>
    <row r="460">
      <c r="A460" s="24"/>
      <c r="B460" s="24"/>
      <c r="C460" s="24"/>
      <c r="D460" s="24"/>
      <c r="E460" s="25"/>
    </row>
    <row r="461">
      <c r="A461" s="24"/>
      <c r="B461" s="24"/>
      <c r="C461" s="24"/>
      <c r="D461" s="24"/>
      <c r="E461" s="25"/>
    </row>
    <row r="462">
      <c r="A462" s="24"/>
      <c r="B462" s="24"/>
      <c r="C462" s="24"/>
      <c r="D462" s="24"/>
      <c r="E462" s="25"/>
    </row>
    <row r="463">
      <c r="A463" s="24"/>
      <c r="B463" s="24"/>
      <c r="C463" s="24"/>
      <c r="D463" s="24"/>
      <c r="E463" s="25"/>
    </row>
    <row r="464">
      <c r="A464" s="24"/>
      <c r="B464" s="24"/>
      <c r="C464" s="24"/>
      <c r="D464" s="24"/>
      <c r="E464" s="25"/>
    </row>
    <row r="465">
      <c r="A465" s="24"/>
      <c r="B465" s="24"/>
      <c r="C465" s="24"/>
      <c r="D465" s="24"/>
      <c r="E465" s="25"/>
    </row>
    <row r="466">
      <c r="A466" s="24"/>
      <c r="B466" s="24"/>
      <c r="C466" s="24"/>
      <c r="D466" s="24"/>
      <c r="E466" s="25"/>
    </row>
    <row r="467">
      <c r="A467" s="24"/>
      <c r="B467" s="24"/>
      <c r="C467" s="24"/>
      <c r="D467" s="24"/>
      <c r="E467" s="25"/>
    </row>
    <row r="468">
      <c r="A468" s="24"/>
      <c r="B468" s="24"/>
      <c r="C468" s="24"/>
      <c r="D468" s="24"/>
      <c r="E468" s="25"/>
    </row>
    <row r="469">
      <c r="A469" s="24"/>
      <c r="B469" s="24"/>
      <c r="C469" s="24"/>
      <c r="D469" s="24"/>
      <c r="E469" s="25"/>
    </row>
    <row r="470">
      <c r="A470" s="24"/>
      <c r="B470" s="24"/>
      <c r="C470" s="24"/>
      <c r="D470" s="24"/>
      <c r="E470" s="25"/>
    </row>
    <row r="471">
      <c r="A471" s="24"/>
      <c r="B471" s="24"/>
      <c r="C471" s="24"/>
      <c r="D471" s="24"/>
      <c r="E471" s="25"/>
    </row>
    <row r="472">
      <c r="A472" s="24"/>
      <c r="B472" s="24"/>
      <c r="C472" s="24"/>
      <c r="D472" s="24"/>
      <c r="E472" s="25"/>
    </row>
    <row r="473">
      <c r="A473" s="24"/>
      <c r="B473" s="24"/>
      <c r="C473" s="24"/>
      <c r="D473" s="24"/>
      <c r="E473" s="25"/>
    </row>
    <row r="474">
      <c r="A474" s="24"/>
      <c r="B474" s="24"/>
      <c r="C474" s="24"/>
      <c r="D474" s="24"/>
      <c r="E474" s="25"/>
    </row>
    <row r="475">
      <c r="A475" s="24"/>
      <c r="B475" s="24"/>
      <c r="C475" s="24"/>
      <c r="D475" s="24"/>
      <c r="E475" s="25"/>
    </row>
    <row r="476">
      <c r="A476" s="24"/>
      <c r="B476" s="24"/>
      <c r="C476" s="24"/>
      <c r="D476" s="24"/>
      <c r="E476" s="25"/>
    </row>
    <row r="477">
      <c r="A477" s="24"/>
      <c r="B477" s="24"/>
      <c r="C477" s="24"/>
      <c r="D477" s="24"/>
      <c r="E477" s="25"/>
    </row>
    <row r="478">
      <c r="A478" s="24"/>
      <c r="B478" s="24"/>
      <c r="C478" s="24"/>
      <c r="D478" s="24"/>
      <c r="E478" s="25"/>
    </row>
    <row r="479">
      <c r="A479" s="24"/>
      <c r="B479" s="24"/>
      <c r="C479" s="24"/>
      <c r="D479" s="24"/>
      <c r="E479" s="25"/>
    </row>
    <row r="480">
      <c r="A480" s="24"/>
      <c r="B480" s="24"/>
      <c r="C480" s="24"/>
      <c r="D480" s="24"/>
      <c r="E480" s="25"/>
    </row>
    <row r="481">
      <c r="A481" s="24"/>
      <c r="B481" s="24"/>
      <c r="C481" s="24"/>
      <c r="D481" s="24"/>
      <c r="E481" s="25"/>
    </row>
    <row r="482">
      <c r="A482" s="24"/>
      <c r="B482" s="24"/>
      <c r="C482" s="24"/>
      <c r="D482" s="24"/>
      <c r="E482" s="25"/>
    </row>
    <row r="483">
      <c r="A483" s="24"/>
      <c r="B483" s="24"/>
      <c r="C483" s="24"/>
      <c r="D483" s="24"/>
      <c r="E483" s="25"/>
    </row>
    <row r="484">
      <c r="A484" s="24"/>
      <c r="B484" s="24"/>
      <c r="C484" s="24"/>
      <c r="D484" s="24"/>
      <c r="E484" s="25"/>
    </row>
    <row r="485">
      <c r="A485" s="24"/>
      <c r="B485" s="24"/>
      <c r="C485" s="24"/>
      <c r="D485" s="24"/>
      <c r="E485" s="25"/>
    </row>
    <row r="486">
      <c r="A486" s="24"/>
      <c r="B486" s="24"/>
      <c r="C486" s="24"/>
      <c r="D486" s="24"/>
      <c r="E486" s="25"/>
    </row>
    <row r="487">
      <c r="A487" s="24"/>
      <c r="B487" s="24"/>
      <c r="C487" s="24"/>
      <c r="D487" s="24"/>
      <c r="E487" s="25"/>
    </row>
    <row r="488">
      <c r="A488" s="24"/>
      <c r="B488" s="24"/>
      <c r="C488" s="24"/>
      <c r="D488" s="24"/>
      <c r="E488" s="25"/>
    </row>
    <row r="489">
      <c r="A489" s="24"/>
      <c r="B489" s="24"/>
      <c r="C489" s="24"/>
      <c r="D489" s="24"/>
      <c r="E489" s="25"/>
    </row>
    <row r="490">
      <c r="A490" s="24"/>
      <c r="B490" s="24"/>
      <c r="C490" s="24"/>
      <c r="D490" s="24"/>
      <c r="E490" s="25"/>
    </row>
    <row r="491">
      <c r="A491" s="24"/>
      <c r="B491" s="24"/>
      <c r="C491" s="24"/>
      <c r="D491" s="24"/>
      <c r="E491" s="25"/>
    </row>
    <row r="492">
      <c r="A492" s="24"/>
      <c r="B492" s="24"/>
      <c r="C492" s="24"/>
      <c r="D492" s="24"/>
      <c r="E492" s="25"/>
    </row>
    <row r="493">
      <c r="A493" s="24"/>
      <c r="B493" s="24"/>
      <c r="C493" s="24"/>
      <c r="D493" s="24"/>
      <c r="E493" s="25"/>
    </row>
    <row r="494">
      <c r="A494" s="24"/>
      <c r="B494" s="24"/>
      <c r="C494" s="24"/>
      <c r="D494" s="24"/>
      <c r="E494" s="25"/>
    </row>
    <row r="495">
      <c r="A495" s="24"/>
      <c r="B495" s="24"/>
      <c r="C495" s="24"/>
      <c r="D495" s="24"/>
      <c r="E495" s="25"/>
    </row>
    <row r="496">
      <c r="A496" s="24"/>
      <c r="B496" s="24"/>
      <c r="C496" s="24"/>
      <c r="D496" s="24"/>
      <c r="E496" s="25"/>
    </row>
    <row r="497">
      <c r="A497" s="24"/>
      <c r="B497" s="24"/>
      <c r="C497" s="24"/>
      <c r="D497" s="24"/>
      <c r="E497" s="25"/>
    </row>
    <row r="498">
      <c r="A498" s="24"/>
      <c r="B498" s="24"/>
      <c r="C498" s="24"/>
      <c r="D498" s="24"/>
      <c r="E498" s="25"/>
    </row>
    <row r="499">
      <c r="A499" s="24"/>
      <c r="B499" s="24"/>
      <c r="C499" s="24"/>
      <c r="D499" s="24"/>
      <c r="E499" s="25"/>
    </row>
    <row r="500">
      <c r="A500" s="24"/>
      <c r="B500" s="24"/>
      <c r="C500" s="24"/>
      <c r="D500" s="24"/>
      <c r="E500" s="25"/>
    </row>
    <row r="501">
      <c r="A501" s="24"/>
      <c r="B501" s="24"/>
      <c r="C501" s="24"/>
      <c r="D501" s="24"/>
      <c r="E501" s="25"/>
    </row>
    <row r="502">
      <c r="A502" s="24"/>
      <c r="B502" s="24"/>
      <c r="C502" s="24"/>
      <c r="D502" s="24"/>
      <c r="E502" s="25"/>
    </row>
    <row r="503">
      <c r="A503" s="24"/>
      <c r="B503" s="24"/>
      <c r="C503" s="24"/>
      <c r="D503" s="24"/>
      <c r="E503" s="25"/>
    </row>
    <row r="504">
      <c r="A504" s="24"/>
      <c r="B504" s="24"/>
      <c r="C504" s="24"/>
      <c r="D504" s="24"/>
      <c r="E504" s="25"/>
    </row>
    <row r="505">
      <c r="A505" s="24"/>
      <c r="B505" s="24"/>
      <c r="C505" s="24"/>
      <c r="D505" s="24"/>
      <c r="E505" s="25"/>
    </row>
    <row r="506">
      <c r="A506" s="24"/>
      <c r="B506" s="24"/>
      <c r="C506" s="24"/>
      <c r="D506" s="24"/>
      <c r="E506" s="25"/>
    </row>
    <row r="507">
      <c r="A507" s="24"/>
      <c r="B507" s="24"/>
      <c r="C507" s="24"/>
      <c r="D507" s="24"/>
      <c r="E507" s="25"/>
    </row>
    <row r="508">
      <c r="A508" s="24"/>
      <c r="B508" s="24"/>
      <c r="C508" s="24"/>
      <c r="D508" s="24"/>
      <c r="E508" s="25"/>
    </row>
    <row r="509">
      <c r="A509" s="24"/>
      <c r="B509" s="24"/>
      <c r="C509" s="24"/>
      <c r="D509" s="24"/>
      <c r="E509" s="25"/>
    </row>
    <row r="510">
      <c r="A510" s="24"/>
      <c r="B510" s="24"/>
      <c r="C510" s="24"/>
      <c r="D510" s="24"/>
      <c r="E510" s="25"/>
    </row>
    <row r="511">
      <c r="A511" s="24"/>
      <c r="B511" s="24"/>
      <c r="C511" s="24"/>
      <c r="D511" s="24"/>
      <c r="E511" s="25"/>
    </row>
    <row r="512">
      <c r="A512" s="24"/>
      <c r="B512" s="24"/>
      <c r="C512" s="24"/>
      <c r="D512" s="24"/>
      <c r="E512" s="25"/>
    </row>
    <row r="513">
      <c r="A513" s="24"/>
      <c r="B513" s="24"/>
      <c r="C513" s="24"/>
      <c r="D513" s="24"/>
      <c r="E513" s="25"/>
    </row>
    <row r="514">
      <c r="A514" s="24"/>
      <c r="B514" s="24"/>
      <c r="C514" s="24"/>
      <c r="D514" s="24"/>
      <c r="E514" s="25"/>
    </row>
    <row r="515">
      <c r="A515" s="24"/>
      <c r="B515" s="24"/>
      <c r="C515" s="24"/>
      <c r="D515" s="24"/>
      <c r="E515" s="25"/>
    </row>
    <row r="516">
      <c r="A516" s="24"/>
      <c r="B516" s="24"/>
      <c r="C516" s="24"/>
      <c r="D516" s="24"/>
      <c r="E516" s="25"/>
    </row>
    <row r="517">
      <c r="A517" s="24"/>
      <c r="B517" s="24"/>
      <c r="C517" s="24"/>
      <c r="D517" s="24"/>
      <c r="E517" s="25"/>
    </row>
    <row r="518">
      <c r="A518" s="24"/>
      <c r="B518" s="24"/>
      <c r="C518" s="24"/>
      <c r="D518" s="24"/>
      <c r="E518" s="25"/>
    </row>
    <row r="519">
      <c r="A519" s="24"/>
      <c r="B519" s="24"/>
      <c r="C519" s="24"/>
      <c r="D519" s="24"/>
      <c r="E519" s="25"/>
    </row>
    <row r="520">
      <c r="A520" s="24"/>
      <c r="B520" s="24"/>
      <c r="C520" s="24"/>
      <c r="D520" s="24"/>
      <c r="E520" s="25"/>
    </row>
    <row r="521">
      <c r="A521" s="24"/>
      <c r="B521" s="24"/>
      <c r="C521" s="24"/>
      <c r="D521" s="24"/>
      <c r="E521" s="25"/>
    </row>
    <row r="522">
      <c r="A522" s="24"/>
      <c r="B522" s="24"/>
      <c r="C522" s="24"/>
      <c r="D522" s="24"/>
      <c r="E522" s="25"/>
    </row>
    <row r="523">
      <c r="A523" s="24"/>
      <c r="B523" s="24"/>
      <c r="C523" s="24"/>
      <c r="D523" s="24"/>
      <c r="E523" s="25"/>
    </row>
    <row r="524">
      <c r="A524" s="24"/>
      <c r="B524" s="24"/>
      <c r="C524" s="24"/>
      <c r="D524" s="24"/>
      <c r="E524" s="25"/>
    </row>
    <row r="525">
      <c r="A525" s="24"/>
      <c r="B525" s="24"/>
      <c r="C525" s="24"/>
      <c r="D525" s="24"/>
      <c r="E525" s="25"/>
    </row>
    <row r="526">
      <c r="A526" s="24"/>
      <c r="B526" s="24"/>
      <c r="C526" s="24"/>
      <c r="D526" s="24"/>
      <c r="E526" s="25"/>
    </row>
    <row r="527">
      <c r="A527" s="24"/>
      <c r="B527" s="24"/>
      <c r="C527" s="24"/>
      <c r="D527" s="24"/>
      <c r="E527" s="25"/>
    </row>
    <row r="528">
      <c r="A528" s="24"/>
      <c r="B528" s="24"/>
      <c r="C528" s="24"/>
      <c r="D528" s="24"/>
      <c r="E528" s="25"/>
    </row>
    <row r="529">
      <c r="A529" s="24"/>
      <c r="B529" s="24"/>
      <c r="C529" s="24"/>
      <c r="D529" s="24"/>
      <c r="E529" s="25"/>
    </row>
    <row r="530">
      <c r="A530" s="24"/>
      <c r="B530" s="24"/>
      <c r="C530" s="24"/>
      <c r="D530" s="24"/>
      <c r="E530" s="25"/>
    </row>
    <row r="531">
      <c r="A531" s="24"/>
      <c r="B531" s="24"/>
      <c r="C531" s="24"/>
      <c r="D531" s="24"/>
      <c r="E531" s="25"/>
    </row>
    <row r="532">
      <c r="A532" s="24"/>
      <c r="B532" s="24"/>
      <c r="C532" s="24"/>
      <c r="D532" s="24"/>
      <c r="E532" s="25"/>
    </row>
    <row r="533">
      <c r="A533" s="24"/>
      <c r="B533" s="24"/>
      <c r="C533" s="24"/>
      <c r="D533" s="24"/>
      <c r="E533" s="25"/>
    </row>
    <row r="534">
      <c r="A534" s="24"/>
      <c r="B534" s="24"/>
      <c r="C534" s="24"/>
      <c r="D534" s="24"/>
      <c r="E534" s="25"/>
    </row>
    <row r="535">
      <c r="A535" s="24"/>
      <c r="B535" s="24"/>
      <c r="C535" s="24"/>
      <c r="D535" s="24"/>
      <c r="E535" s="25"/>
    </row>
    <row r="536">
      <c r="A536" s="24"/>
      <c r="B536" s="24"/>
      <c r="C536" s="24"/>
      <c r="D536" s="24"/>
      <c r="E536" s="25"/>
    </row>
    <row r="537">
      <c r="A537" s="24"/>
      <c r="B537" s="24"/>
      <c r="C537" s="24"/>
      <c r="D537" s="24"/>
      <c r="E537" s="25"/>
    </row>
    <row r="538">
      <c r="A538" s="24"/>
      <c r="B538" s="24"/>
      <c r="C538" s="24"/>
      <c r="D538" s="24"/>
      <c r="E538" s="25"/>
    </row>
    <row r="539">
      <c r="A539" s="24"/>
      <c r="B539" s="24"/>
      <c r="C539" s="24"/>
      <c r="D539" s="24"/>
      <c r="E539" s="25"/>
    </row>
    <row r="540">
      <c r="A540" s="24"/>
      <c r="B540" s="24"/>
      <c r="C540" s="24"/>
      <c r="D540" s="24"/>
      <c r="E540" s="25"/>
    </row>
    <row r="541">
      <c r="A541" s="24"/>
      <c r="B541" s="24"/>
      <c r="C541" s="24"/>
      <c r="D541" s="24"/>
      <c r="E541" s="25"/>
    </row>
    <row r="542">
      <c r="A542" s="24"/>
      <c r="B542" s="24"/>
      <c r="C542" s="24"/>
      <c r="D542" s="24"/>
      <c r="E542" s="25"/>
    </row>
    <row r="543">
      <c r="A543" s="24"/>
      <c r="B543" s="24"/>
      <c r="C543" s="24"/>
      <c r="D543" s="24"/>
      <c r="E543" s="25"/>
    </row>
    <row r="544">
      <c r="A544" s="24"/>
      <c r="B544" s="24"/>
      <c r="C544" s="24"/>
      <c r="D544" s="24"/>
      <c r="E544" s="25"/>
    </row>
    <row r="545">
      <c r="A545" s="24"/>
      <c r="B545" s="24"/>
      <c r="C545" s="24"/>
      <c r="D545" s="24"/>
      <c r="E545" s="25"/>
    </row>
    <row r="546">
      <c r="A546" s="24"/>
      <c r="B546" s="24"/>
      <c r="C546" s="24"/>
      <c r="D546" s="24"/>
      <c r="E546" s="25"/>
    </row>
    <row r="547">
      <c r="A547" s="24"/>
      <c r="B547" s="24"/>
      <c r="C547" s="24"/>
      <c r="D547" s="24"/>
      <c r="E547" s="25"/>
    </row>
    <row r="548">
      <c r="A548" s="24"/>
      <c r="B548" s="24"/>
      <c r="C548" s="24"/>
      <c r="D548" s="24"/>
      <c r="E548" s="25"/>
    </row>
    <row r="549">
      <c r="A549" s="24"/>
      <c r="B549" s="24"/>
      <c r="C549" s="24"/>
      <c r="D549" s="24"/>
      <c r="E549" s="25"/>
    </row>
    <row r="550">
      <c r="A550" s="24"/>
      <c r="B550" s="24"/>
      <c r="C550" s="24"/>
      <c r="D550" s="24"/>
      <c r="E550" s="25"/>
    </row>
    <row r="551">
      <c r="A551" s="24"/>
      <c r="B551" s="24"/>
      <c r="C551" s="24"/>
      <c r="D551" s="24"/>
      <c r="E551" s="25"/>
    </row>
    <row r="552">
      <c r="A552" s="24"/>
      <c r="B552" s="24"/>
      <c r="C552" s="24"/>
      <c r="D552" s="24"/>
      <c r="E552" s="25"/>
    </row>
    <row r="553">
      <c r="A553" s="24"/>
      <c r="B553" s="24"/>
      <c r="C553" s="24"/>
      <c r="D553" s="24"/>
      <c r="E553" s="25"/>
    </row>
    <row r="554">
      <c r="A554" s="24"/>
      <c r="B554" s="24"/>
      <c r="C554" s="24"/>
      <c r="D554" s="24"/>
      <c r="E554" s="25"/>
    </row>
    <row r="555">
      <c r="A555" s="24"/>
      <c r="B555" s="24"/>
      <c r="C555" s="24"/>
      <c r="D555" s="24"/>
      <c r="E555" s="25"/>
    </row>
    <row r="556">
      <c r="A556" s="24"/>
      <c r="B556" s="24"/>
      <c r="C556" s="24"/>
      <c r="D556" s="24"/>
      <c r="E556" s="25"/>
    </row>
    <row r="557">
      <c r="A557" s="24"/>
      <c r="B557" s="24"/>
      <c r="C557" s="24"/>
      <c r="D557" s="24"/>
      <c r="E557" s="25"/>
    </row>
    <row r="558">
      <c r="A558" s="24"/>
      <c r="B558" s="24"/>
      <c r="C558" s="24"/>
      <c r="D558" s="24"/>
      <c r="E558" s="25"/>
    </row>
    <row r="559">
      <c r="A559" s="24"/>
      <c r="B559" s="24"/>
      <c r="C559" s="24"/>
      <c r="D559" s="24"/>
      <c r="E559" s="25"/>
    </row>
    <row r="560">
      <c r="A560" s="24"/>
      <c r="B560" s="24"/>
      <c r="C560" s="24"/>
      <c r="D560" s="24"/>
      <c r="E560" s="25"/>
    </row>
    <row r="561">
      <c r="A561" s="24"/>
      <c r="B561" s="24"/>
      <c r="C561" s="24"/>
      <c r="D561" s="24"/>
      <c r="E561" s="25"/>
    </row>
    <row r="562">
      <c r="A562" s="24"/>
      <c r="B562" s="24"/>
      <c r="C562" s="24"/>
      <c r="D562" s="24"/>
      <c r="E562" s="25"/>
    </row>
    <row r="563">
      <c r="A563" s="24"/>
      <c r="B563" s="24"/>
      <c r="C563" s="24"/>
      <c r="D563" s="24"/>
      <c r="E563" s="25"/>
    </row>
    <row r="564">
      <c r="A564" s="24"/>
      <c r="B564" s="24"/>
      <c r="C564" s="24"/>
      <c r="D564" s="24"/>
      <c r="E564" s="25"/>
    </row>
    <row r="565">
      <c r="A565" s="24"/>
      <c r="B565" s="24"/>
      <c r="C565" s="24"/>
      <c r="D565" s="24"/>
      <c r="E565" s="25"/>
    </row>
    <row r="566">
      <c r="A566" s="24"/>
      <c r="B566" s="24"/>
      <c r="C566" s="24"/>
      <c r="D566" s="24"/>
      <c r="E566" s="25"/>
    </row>
    <row r="567">
      <c r="A567" s="24"/>
      <c r="B567" s="24"/>
      <c r="C567" s="24"/>
      <c r="D567" s="24"/>
      <c r="E567" s="25"/>
    </row>
    <row r="568">
      <c r="A568" s="24"/>
      <c r="B568" s="24"/>
      <c r="C568" s="24"/>
      <c r="D568" s="24"/>
      <c r="E568" s="25"/>
    </row>
    <row r="569">
      <c r="A569" s="24"/>
      <c r="B569" s="24"/>
      <c r="C569" s="24"/>
      <c r="D569" s="24"/>
      <c r="E569" s="25"/>
    </row>
    <row r="570">
      <c r="A570" s="24"/>
      <c r="B570" s="24"/>
      <c r="C570" s="24"/>
      <c r="D570" s="24"/>
      <c r="E570" s="25"/>
    </row>
    <row r="571">
      <c r="A571" s="24"/>
      <c r="B571" s="24"/>
      <c r="C571" s="24"/>
      <c r="D571" s="24"/>
      <c r="E571" s="25"/>
    </row>
    <row r="572">
      <c r="A572" s="24"/>
      <c r="B572" s="24"/>
      <c r="C572" s="24"/>
      <c r="D572" s="24"/>
      <c r="E572" s="25"/>
    </row>
    <row r="573">
      <c r="A573" s="24"/>
      <c r="B573" s="24"/>
      <c r="C573" s="24"/>
      <c r="D573" s="24"/>
      <c r="E573" s="25"/>
    </row>
    <row r="574">
      <c r="A574" s="24"/>
      <c r="B574" s="24"/>
      <c r="C574" s="24"/>
      <c r="D574" s="24"/>
      <c r="E574" s="25"/>
    </row>
    <row r="575">
      <c r="A575" s="24"/>
      <c r="B575" s="24"/>
      <c r="C575" s="24"/>
      <c r="D575" s="24"/>
      <c r="E575" s="25"/>
    </row>
    <row r="576">
      <c r="A576" s="24"/>
      <c r="B576" s="24"/>
      <c r="C576" s="24"/>
      <c r="D576" s="24"/>
      <c r="E576" s="25"/>
    </row>
    <row r="577">
      <c r="A577" s="24"/>
      <c r="B577" s="24"/>
      <c r="C577" s="24"/>
      <c r="D577" s="24"/>
      <c r="E577" s="25"/>
    </row>
    <row r="578">
      <c r="A578" s="24"/>
      <c r="B578" s="24"/>
      <c r="C578" s="24"/>
      <c r="D578" s="24"/>
      <c r="E578" s="25"/>
    </row>
    <row r="579">
      <c r="A579" s="24"/>
      <c r="B579" s="24"/>
      <c r="C579" s="24"/>
      <c r="D579" s="24"/>
      <c r="E579" s="25"/>
    </row>
    <row r="580">
      <c r="A580" s="24"/>
      <c r="B580" s="24"/>
      <c r="C580" s="24"/>
      <c r="D580" s="24"/>
      <c r="E580" s="25"/>
    </row>
    <row r="581">
      <c r="A581" s="24"/>
      <c r="B581" s="24"/>
      <c r="C581" s="24"/>
      <c r="D581" s="24"/>
      <c r="E581" s="25"/>
    </row>
    <row r="582">
      <c r="A582" s="24"/>
      <c r="B582" s="24"/>
      <c r="C582" s="24"/>
      <c r="D582" s="24"/>
      <c r="E582" s="25"/>
    </row>
    <row r="583">
      <c r="A583" s="24"/>
      <c r="B583" s="24"/>
      <c r="C583" s="24"/>
      <c r="D583" s="24"/>
      <c r="E583" s="25"/>
    </row>
    <row r="584">
      <c r="A584" s="24"/>
      <c r="B584" s="24"/>
      <c r="C584" s="24"/>
      <c r="D584" s="24"/>
      <c r="E584" s="25"/>
    </row>
    <row r="585">
      <c r="A585" s="24"/>
      <c r="B585" s="24"/>
      <c r="C585" s="24"/>
      <c r="D585" s="24"/>
      <c r="E585" s="25"/>
    </row>
    <row r="586">
      <c r="A586" s="24"/>
      <c r="B586" s="24"/>
      <c r="C586" s="24"/>
      <c r="D586" s="24"/>
      <c r="E586" s="25"/>
    </row>
    <row r="587">
      <c r="A587" s="24"/>
      <c r="B587" s="24"/>
      <c r="C587" s="24"/>
      <c r="D587" s="24"/>
      <c r="E587" s="25"/>
    </row>
    <row r="588">
      <c r="A588" s="24"/>
      <c r="B588" s="24"/>
      <c r="C588" s="24"/>
      <c r="D588" s="24"/>
      <c r="E588" s="25"/>
    </row>
    <row r="589">
      <c r="A589" s="24"/>
      <c r="B589" s="24"/>
      <c r="C589" s="24"/>
      <c r="D589" s="24"/>
      <c r="E589" s="25"/>
    </row>
    <row r="590">
      <c r="A590" s="24"/>
      <c r="B590" s="24"/>
      <c r="C590" s="24"/>
      <c r="D590" s="24"/>
      <c r="E590" s="25"/>
    </row>
    <row r="591">
      <c r="A591" s="24"/>
      <c r="B591" s="24"/>
      <c r="C591" s="24"/>
      <c r="D591" s="24"/>
      <c r="E591" s="25"/>
    </row>
    <row r="592">
      <c r="A592" s="24"/>
      <c r="B592" s="24"/>
      <c r="C592" s="24"/>
      <c r="D592" s="24"/>
      <c r="E592" s="25"/>
    </row>
    <row r="593">
      <c r="A593" s="24"/>
      <c r="B593" s="24"/>
      <c r="C593" s="24"/>
      <c r="D593" s="24"/>
      <c r="E593" s="25"/>
    </row>
    <row r="594">
      <c r="A594" s="24"/>
      <c r="B594" s="24"/>
      <c r="C594" s="24"/>
      <c r="D594" s="24"/>
      <c r="E594" s="25"/>
    </row>
    <row r="595">
      <c r="A595" s="24"/>
      <c r="B595" s="24"/>
      <c r="C595" s="24"/>
      <c r="D595" s="24"/>
      <c r="E595" s="25"/>
    </row>
    <row r="596">
      <c r="A596" s="24"/>
      <c r="B596" s="24"/>
      <c r="C596" s="24"/>
      <c r="D596" s="24"/>
      <c r="E596" s="25"/>
    </row>
    <row r="597">
      <c r="A597" s="24"/>
      <c r="B597" s="24"/>
      <c r="C597" s="24"/>
      <c r="D597" s="24"/>
      <c r="E597" s="25"/>
    </row>
    <row r="598">
      <c r="A598" s="24"/>
      <c r="B598" s="24"/>
      <c r="C598" s="24"/>
      <c r="D598" s="24"/>
      <c r="E598" s="25"/>
    </row>
    <row r="599">
      <c r="A599" s="24"/>
      <c r="B599" s="24"/>
      <c r="C599" s="24"/>
      <c r="D599" s="24"/>
      <c r="E599" s="25"/>
    </row>
    <row r="600">
      <c r="A600" s="24"/>
      <c r="B600" s="24"/>
      <c r="C600" s="24"/>
      <c r="D600" s="24"/>
      <c r="E600" s="25"/>
    </row>
    <row r="601">
      <c r="A601" s="24"/>
      <c r="B601" s="24"/>
      <c r="C601" s="24"/>
      <c r="D601" s="24"/>
      <c r="E601" s="25"/>
    </row>
    <row r="602">
      <c r="A602" s="24"/>
      <c r="B602" s="24"/>
      <c r="C602" s="24"/>
      <c r="D602" s="24"/>
      <c r="E602" s="25"/>
    </row>
    <row r="603">
      <c r="A603" s="24"/>
      <c r="B603" s="24"/>
      <c r="C603" s="24"/>
      <c r="D603" s="24"/>
      <c r="E603" s="25"/>
    </row>
    <row r="604">
      <c r="A604" s="24"/>
      <c r="B604" s="24"/>
      <c r="C604" s="24"/>
      <c r="D604" s="24"/>
      <c r="E604" s="25"/>
    </row>
    <row r="605">
      <c r="A605" s="24"/>
      <c r="B605" s="24"/>
      <c r="C605" s="24"/>
      <c r="D605" s="24"/>
      <c r="E605" s="25"/>
    </row>
    <row r="606">
      <c r="A606" s="24"/>
      <c r="B606" s="24"/>
      <c r="C606" s="24"/>
      <c r="D606" s="24"/>
      <c r="E606" s="25"/>
    </row>
    <row r="607">
      <c r="A607" s="24"/>
      <c r="B607" s="24"/>
      <c r="C607" s="24"/>
      <c r="D607" s="24"/>
      <c r="E607" s="25"/>
    </row>
    <row r="608">
      <c r="A608" s="24"/>
      <c r="B608" s="24"/>
      <c r="C608" s="24"/>
      <c r="D608" s="24"/>
      <c r="E608" s="25"/>
    </row>
    <row r="609">
      <c r="A609" s="24"/>
      <c r="B609" s="24"/>
      <c r="C609" s="24"/>
      <c r="D609" s="24"/>
      <c r="E609" s="25"/>
    </row>
    <row r="610">
      <c r="A610" s="24"/>
      <c r="B610" s="24"/>
      <c r="C610" s="24"/>
      <c r="D610" s="24"/>
      <c r="E610" s="25"/>
    </row>
    <row r="611">
      <c r="A611" s="24"/>
      <c r="B611" s="24"/>
      <c r="C611" s="24"/>
      <c r="D611" s="24"/>
      <c r="E611" s="25"/>
    </row>
    <row r="612">
      <c r="A612" s="24"/>
      <c r="B612" s="24"/>
      <c r="C612" s="24"/>
      <c r="D612" s="24"/>
      <c r="E612" s="25"/>
    </row>
    <row r="613">
      <c r="A613" s="24"/>
      <c r="B613" s="24"/>
      <c r="C613" s="24"/>
      <c r="D613" s="24"/>
      <c r="E613" s="25"/>
    </row>
    <row r="614">
      <c r="A614" s="24"/>
      <c r="B614" s="24"/>
      <c r="C614" s="24"/>
      <c r="D614" s="24"/>
      <c r="E614" s="25"/>
    </row>
    <row r="615">
      <c r="A615" s="24"/>
      <c r="B615" s="24"/>
      <c r="C615" s="24"/>
      <c r="D615" s="24"/>
      <c r="E615" s="25"/>
    </row>
    <row r="616">
      <c r="A616" s="24"/>
      <c r="B616" s="24"/>
      <c r="C616" s="24"/>
      <c r="D616" s="24"/>
      <c r="E616" s="25"/>
    </row>
    <row r="617">
      <c r="A617" s="24"/>
      <c r="B617" s="24"/>
      <c r="C617" s="24"/>
      <c r="D617" s="24"/>
      <c r="E617" s="25"/>
    </row>
    <row r="618">
      <c r="A618" s="24"/>
      <c r="B618" s="24"/>
      <c r="C618" s="24"/>
      <c r="D618" s="24"/>
      <c r="E618" s="25"/>
    </row>
    <row r="619">
      <c r="A619" s="24"/>
      <c r="B619" s="24"/>
      <c r="C619" s="24"/>
      <c r="D619" s="24"/>
      <c r="E619" s="25"/>
    </row>
    <row r="620">
      <c r="A620" s="24"/>
      <c r="B620" s="24"/>
      <c r="C620" s="24"/>
      <c r="D620" s="24"/>
      <c r="E620" s="25"/>
    </row>
    <row r="621">
      <c r="A621" s="24"/>
      <c r="B621" s="24"/>
      <c r="C621" s="24"/>
      <c r="D621" s="24"/>
      <c r="E621" s="25"/>
    </row>
    <row r="622">
      <c r="A622" s="24"/>
      <c r="B622" s="24"/>
      <c r="C622" s="24"/>
      <c r="D622" s="24"/>
      <c r="E622" s="25"/>
    </row>
    <row r="623">
      <c r="A623" s="24"/>
      <c r="B623" s="24"/>
      <c r="C623" s="24"/>
      <c r="D623" s="24"/>
      <c r="E623" s="25"/>
    </row>
    <row r="624">
      <c r="A624" s="24"/>
      <c r="B624" s="24"/>
      <c r="C624" s="24"/>
      <c r="D624" s="24"/>
      <c r="E624" s="25"/>
    </row>
    <row r="625">
      <c r="A625" s="24"/>
      <c r="B625" s="24"/>
      <c r="C625" s="24"/>
      <c r="D625" s="24"/>
      <c r="E625" s="25"/>
    </row>
    <row r="626">
      <c r="A626" s="24"/>
      <c r="B626" s="24"/>
      <c r="C626" s="24"/>
      <c r="D626" s="24"/>
      <c r="E626" s="25"/>
    </row>
    <row r="627">
      <c r="A627" s="24"/>
      <c r="B627" s="24"/>
      <c r="C627" s="24"/>
      <c r="D627" s="24"/>
      <c r="E627" s="25"/>
    </row>
    <row r="628">
      <c r="A628" s="24"/>
      <c r="B628" s="24"/>
      <c r="C628" s="24"/>
      <c r="D628" s="24"/>
      <c r="E628" s="25"/>
    </row>
    <row r="629">
      <c r="A629" s="24"/>
      <c r="B629" s="24"/>
      <c r="C629" s="24"/>
      <c r="D629" s="24"/>
      <c r="E629" s="25"/>
    </row>
    <row r="630">
      <c r="A630" s="24"/>
      <c r="B630" s="24"/>
      <c r="C630" s="24"/>
      <c r="D630" s="24"/>
      <c r="E630" s="25"/>
    </row>
    <row r="631">
      <c r="A631" s="24"/>
      <c r="B631" s="24"/>
      <c r="C631" s="24"/>
      <c r="D631" s="24"/>
      <c r="E631" s="25"/>
    </row>
    <row r="632">
      <c r="A632" s="24"/>
      <c r="B632" s="24"/>
      <c r="C632" s="24"/>
      <c r="D632" s="24"/>
      <c r="E632" s="25"/>
    </row>
    <row r="633">
      <c r="A633" s="24"/>
      <c r="B633" s="24"/>
      <c r="C633" s="24"/>
      <c r="D633" s="24"/>
      <c r="E633" s="25"/>
    </row>
    <row r="634">
      <c r="A634" s="24"/>
      <c r="B634" s="24"/>
      <c r="C634" s="24"/>
      <c r="D634" s="24"/>
      <c r="E634" s="25"/>
    </row>
    <row r="635">
      <c r="A635" s="24"/>
      <c r="B635" s="24"/>
      <c r="C635" s="24"/>
      <c r="D635" s="24"/>
      <c r="E635" s="25"/>
    </row>
    <row r="636">
      <c r="A636" s="24"/>
      <c r="B636" s="24"/>
      <c r="C636" s="24"/>
      <c r="D636" s="24"/>
      <c r="E636" s="25"/>
    </row>
    <row r="637">
      <c r="A637" s="24"/>
      <c r="B637" s="24"/>
      <c r="C637" s="24"/>
      <c r="D637" s="24"/>
      <c r="E637" s="25"/>
    </row>
    <row r="638">
      <c r="A638" s="24"/>
      <c r="B638" s="24"/>
      <c r="C638" s="24"/>
      <c r="D638" s="24"/>
      <c r="E638" s="25"/>
    </row>
    <row r="639">
      <c r="A639" s="24"/>
      <c r="B639" s="24"/>
      <c r="C639" s="24"/>
      <c r="D639" s="24"/>
      <c r="E639" s="25"/>
    </row>
    <row r="640">
      <c r="A640" s="24"/>
      <c r="B640" s="24"/>
      <c r="C640" s="24"/>
      <c r="D640" s="24"/>
      <c r="E640" s="25"/>
    </row>
    <row r="641">
      <c r="A641" s="24"/>
      <c r="B641" s="24"/>
      <c r="C641" s="24"/>
      <c r="D641" s="24"/>
      <c r="E641" s="25"/>
    </row>
    <row r="642">
      <c r="A642" s="24"/>
      <c r="B642" s="24"/>
      <c r="C642" s="24"/>
      <c r="D642" s="24"/>
      <c r="E642" s="25"/>
    </row>
    <row r="643">
      <c r="A643" s="24"/>
      <c r="B643" s="24"/>
      <c r="C643" s="24"/>
      <c r="D643" s="24"/>
      <c r="E643" s="25"/>
    </row>
    <row r="644">
      <c r="A644" s="24"/>
      <c r="B644" s="24"/>
      <c r="C644" s="24"/>
      <c r="D644" s="24"/>
      <c r="E644" s="25"/>
    </row>
    <row r="645">
      <c r="A645" s="24"/>
      <c r="B645" s="24"/>
      <c r="C645" s="24"/>
      <c r="D645" s="24"/>
      <c r="E645" s="25"/>
    </row>
    <row r="646">
      <c r="A646" s="24"/>
      <c r="B646" s="24"/>
      <c r="C646" s="24"/>
      <c r="D646" s="24"/>
      <c r="E646" s="25"/>
    </row>
    <row r="647">
      <c r="A647" s="24"/>
      <c r="B647" s="24"/>
      <c r="C647" s="24"/>
      <c r="D647" s="24"/>
      <c r="E647" s="25"/>
    </row>
    <row r="648">
      <c r="A648" s="24"/>
      <c r="B648" s="24"/>
      <c r="C648" s="24"/>
      <c r="D648" s="24"/>
      <c r="E648" s="25"/>
    </row>
    <row r="649">
      <c r="A649" s="24"/>
      <c r="B649" s="24"/>
      <c r="C649" s="24"/>
      <c r="D649" s="24"/>
      <c r="E649" s="25"/>
    </row>
    <row r="650">
      <c r="A650" s="24"/>
      <c r="B650" s="24"/>
      <c r="C650" s="24"/>
      <c r="D650" s="24"/>
      <c r="E650" s="25"/>
    </row>
    <row r="651">
      <c r="A651" s="24"/>
      <c r="B651" s="24"/>
      <c r="C651" s="24"/>
      <c r="D651" s="24"/>
      <c r="E651" s="25"/>
    </row>
    <row r="652">
      <c r="A652" s="24"/>
      <c r="B652" s="24"/>
      <c r="C652" s="24"/>
      <c r="D652" s="24"/>
      <c r="E652" s="25"/>
    </row>
    <row r="653">
      <c r="A653" s="24"/>
      <c r="B653" s="24"/>
      <c r="C653" s="24"/>
      <c r="D653" s="24"/>
      <c r="E653" s="25"/>
    </row>
    <row r="654">
      <c r="A654" s="24"/>
      <c r="B654" s="24"/>
      <c r="C654" s="24"/>
      <c r="D654" s="24"/>
      <c r="E654" s="25"/>
    </row>
    <row r="655">
      <c r="A655" s="24"/>
      <c r="B655" s="24"/>
      <c r="C655" s="24"/>
      <c r="D655" s="24"/>
      <c r="E655" s="25"/>
    </row>
    <row r="656">
      <c r="A656" s="24"/>
      <c r="B656" s="24"/>
      <c r="C656" s="24"/>
      <c r="D656" s="24"/>
      <c r="E656" s="25"/>
    </row>
    <row r="657">
      <c r="A657" s="24"/>
      <c r="B657" s="24"/>
      <c r="C657" s="24"/>
      <c r="D657" s="24"/>
      <c r="E657" s="25"/>
    </row>
    <row r="658">
      <c r="A658" s="24"/>
      <c r="B658" s="24"/>
      <c r="C658" s="24"/>
      <c r="D658" s="24"/>
      <c r="E658" s="25"/>
    </row>
    <row r="659">
      <c r="A659" s="24"/>
      <c r="B659" s="24"/>
      <c r="C659" s="24"/>
      <c r="D659" s="24"/>
      <c r="E659" s="25"/>
    </row>
    <row r="660">
      <c r="A660" s="24"/>
      <c r="B660" s="24"/>
      <c r="C660" s="24"/>
      <c r="D660" s="24"/>
      <c r="E660" s="25"/>
    </row>
    <row r="661">
      <c r="A661" s="24"/>
      <c r="B661" s="24"/>
      <c r="C661" s="24"/>
      <c r="D661" s="24"/>
      <c r="E661" s="25"/>
    </row>
    <row r="662">
      <c r="A662" s="24"/>
      <c r="B662" s="24"/>
      <c r="C662" s="24"/>
      <c r="D662" s="24"/>
      <c r="E662" s="25"/>
    </row>
    <row r="663">
      <c r="A663" s="24"/>
      <c r="B663" s="24"/>
      <c r="C663" s="24"/>
      <c r="D663" s="24"/>
      <c r="E663" s="25"/>
    </row>
    <row r="664">
      <c r="A664" s="24"/>
      <c r="B664" s="24"/>
      <c r="C664" s="24"/>
      <c r="D664" s="24"/>
      <c r="E664" s="25"/>
    </row>
    <row r="665">
      <c r="A665" s="24"/>
      <c r="B665" s="24"/>
      <c r="C665" s="24"/>
      <c r="D665" s="24"/>
      <c r="E665" s="25"/>
    </row>
    <row r="666">
      <c r="A666" s="24"/>
      <c r="B666" s="24"/>
      <c r="C666" s="24"/>
      <c r="D666" s="24"/>
      <c r="E666" s="25"/>
    </row>
    <row r="667">
      <c r="A667" s="24"/>
      <c r="B667" s="24"/>
      <c r="C667" s="24"/>
      <c r="D667" s="24"/>
      <c r="E667" s="25"/>
    </row>
    <row r="668">
      <c r="A668" s="24"/>
      <c r="B668" s="24"/>
      <c r="C668" s="24"/>
      <c r="D668" s="24"/>
      <c r="E668" s="25"/>
    </row>
    <row r="669">
      <c r="A669" s="24"/>
      <c r="B669" s="24"/>
      <c r="C669" s="24"/>
      <c r="D669" s="24"/>
      <c r="E669" s="25"/>
    </row>
    <row r="670">
      <c r="A670" s="24"/>
      <c r="B670" s="24"/>
      <c r="C670" s="24"/>
      <c r="D670" s="24"/>
      <c r="E670" s="25"/>
    </row>
    <row r="671">
      <c r="A671" s="24"/>
      <c r="B671" s="24"/>
      <c r="C671" s="24"/>
      <c r="D671" s="24"/>
      <c r="E671" s="25"/>
    </row>
    <row r="672">
      <c r="A672" s="24"/>
      <c r="B672" s="24"/>
      <c r="C672" s="24"/>
      <c r="D672" s="24"/>
      <c r="E672" s="25"/>
    </row>
    <row r="673">
      <c r="A673" s="24"/>
      <c r="B673" s="24"/>
      <c r="C673" s="24"/>
      <c r="D673" s="24"/>
      <c r="E673" s="25"/>
    </row>
    <row r="674">
      <c r="A674" s="24"/>
      <c r="B674" s="24"/>
      <c r="C674" s="24"/>
      <c r="D674" s="24"/>
      <c r="E674" s="25"/>
    </row>
    <row r="675">
      <c r="A675" s="24"/>
      <c r="B675" s="24"/>
      <c r="C675" s="24"/>
      <c r="D675" s="24"/>
      <c r="E675" s="25"/>
    </row>
    <row r="676">
      <c r="A676" s="24"/>
      <c r="B676" s="24"/>
      <c r="C676" s="24"/>
      <c r="D676" s="24"/>
      <c r="E676" s="25"/>
    </row>
    <row r="677">
      <c r="A677" s="24"/>
      <c r="B677" s="24"/>
      <c r="C677" s="24"/>
      <c r="D677" s="24"/>
      <c r="E677" s="25"/>
    </row>
    <row r="678">
      <c r="A678" s="24"/>
      <c r="B678" s="24"/>
      <c r="C678" s="24"/>
      <c r="D678" s="24"/>
      <c r="E678" s="25"/>
    </row>
    <row r="679">
      <c r="A679" s="24"/>
      <c r="B679" s="24"/>
      <c r="C679" s="24"/>
      <c r="D679" s="24"/>
      <c r="E679" s="25"/>
    </row>
    <row r="680">
      <c r="A680" s="24"/>
      <c r="B680" s="24"/>
      <c r="C680" s="24"/>
      <c r="D680" s="24"/>
      <c r="E680" s="25"/>
    </row>
    <row r="681">
      <c r="A681" s="24"/>
      <c r="B681" s="24"/>
      <c r="C681" s="24"/>
      <c r="D681" s="24"/>
      <c r="E681" s="25"/>
    </row>
    <row r="682">
      <c r="A682" s="24"/>
      <c r="B682" s="24"/>
      <c r="C682" s="24"/>
      <c r="D682" s="24"/>
      <c r="E682" s="25"/>
    </row>
    <row r="683">
      <c r="A683" s="24"/>
      <c r="B683" s="24"/>
      <c r="C683" s="24"/>
      <c r="D683" s="24"/>
      <c r="E683" s="25"/>
    </row>
    <row r="684">
      <c r="A684" s="24"/>
      <c r="B684" s="24"/>
      <c r="C684" s="24"/>
      <c r="D684" s="24"/>
      <c r="E684" s="25"/>
    </row>
    <row r="685">
      <c r="A685" s="24"/>
      <c r="B685" s="24"/>
      <c r="C685" s="24"/>
      <c r="D685" s="24"/>
      <c r="E685" s="25"/>
    </row>
    <row r="686">
      <c r="A686" s="24"/>
      <c r="B686" s="24"/>
      <c r="C686" s="24"/>
      <c r="D686" s="24"/>
      <c r="E686" s="25"/>
    </row>
    <row r="687">
      <c r="A687" s="24"/>
      <c r="B687" s="24"/>
      <c r="C687" s="24"/>
      <c r="D687" s="24"/>
      <c r="E687" s="25"/>
    </row>
    <row r="688">
      <c r="A688" s="24"/>
      <c r="B688" s="24"/>
      <c r="C688" s="24"/>
      <c r="D688" s="24"/>
      <c r="E688" s="25"/>
    </row>
    <row r="689">
      <c r="A689" s="24"/>
      <c r="B689" s="24"/>
      <c r="C689" s="24"/>
      <c r="D689" s="24"/>
      <c r="E689" s="25"/>
    </row>
    <row r="690">
      <c r="A690" s="24"/>
      <c r="B690" s="24"/>
      <c r="C690" s="24"/>
      <c r="D690" s="24"/>
      <c r="E690" s="25"/>
    </row>
    <row r="691">
      <c r="A691" s="24"/>
      <c r="B691" s="24"/>
      <c r="C691" s="24"/>
      <c r="D691" s="24"/>
      <c r="E691" s="25"/>
    </row>
    <row r="692">
      <c r="A692" s="24"/>
      <c r="B692" s="24"/>
      <c r="C692" s="24"/>
      <c r="D692" s="24"/>
      <c r="E692" s="25"/>
    </row>
    <row r="693">
      <c r="A693" s="24"/>
      <c r="B693" s="24"/>
      <c r="C693" s="24"/>
      <c r="D693" s="24"/>
      <c r="E693" s="25"/>
    </row>
    <row r="694">
      <c r="A694" s="24"/>
      <c r="B694" s="24"/>
      <c r="C694" s="24"/>
      <c r="D694" s="24"/>
      <c r="E694" s="25"/>
    </row>
    <row r="695">
      <c r="A695" s="24"/>
      <c r="B695" s="24"/>
      <c r="C695" s="24"/>
      <c r="D695" s="24"/>
      <c r="E695" s="25"/>
    </row>
    <row r="696">
      <c r="A696" s="24"/>
      <c r="B696" s="24"/>
      <c r="C696" s="24"/>
      <c r="D696" s="24"/>
      <c r="E696" s="25"/>
    </row>
    <row r="697">
      <c r="A697" s="24"/>
      <c r="B697" s="24"/>
      <c r="C697" s="24"/>
      <c r="D697" s="24"/>
      <c r="E697" s="25"/>
    </row>
    <row r="698">
      <c r="A698" s="24"/>
      <c r="B698" s="24"/>
      <c r="C698" s="24"/>
      <c r="D698" s="24"/>
      <c r="E698" s="25"/>
    </row>
    <row r="699">
      <c r="A699" s="24"/>
      <c r="B699" s="24"/>
      <c r="C699" s="24"/>
      <c r="D699" s="24"/>
      <c r="E699" s="25"/>
    </row>
    <row r="700">
      <c r="A700" s="24"/>
      <c r="B700" s="24"/>
      <c r="C700" s="24"/>
      <c r="D700" s="24"/>
      <c r="E700" s="25"/>
    </row>
    <row r="701">
      <c r="A701" s="24"/>
      <c r="B701" s="24"/>
      <c r="C701" s="24"/>
      <c r="D701" s="24"/>
      <c r="E701" s="25"/>
    </row>
    <row r="702">
      <c r="A702" s="24"/>
      <c r="B702" s="24"/>
      <c r="C702" s="24"/>
      <c r="D702" s="24"/>
      <c r="E702" s="25"/>
    </row>
    <row r="703">
      <c r="A703" s="24"/>
      <c r="B703" s="24"/>
      <c r="C703" s="24"/>
      <c r="D703" s="24"/>
      <c r="E703" s="25"/>
    </row>
    <row r="704">
      <c r="A704" s="24"/>
      <c r="B704" s="24"/>
      <c r="C704" s="24"/>
      <c r="D704" s="24"/>
      <c r="E704" s="25"/>
    </row>
    <row r="705">
      <c r="A705" s="24"/>
      <c r="B705" s="24"/>
      <c r="C705" s="24"/>
      <c r="D705" s="24"/>
      <c r="E705" s="25"/>
    </row>
    <row r="706">
      <c r="A706" s="24"/>
      <c r="B706" s="24"/>
      <c r="C706" s="24"/>
      <c r="D706" s="24"/>
      <c r="E706" s="25"/>
    </row>
    <row r="707">
      <c r="A707" s="24"/>
      <c r="B707" s="24"/>
      <c r="C707" s="24"/>
      <c r="D707" s="24"/>
      <c r="E707" s="25"/>
    </row>
    <row r="708">
      <c r="A708" s="24"/>
      <c r="B708" s="24"/>
      <c r="C708" s="24"/>
      <c r="D708" s="24"/>
      <c r="E708" s="25"/>
    </row>
    <row r="709">
      <c r="A709" s="24"/>
      <c r="B709" s="24"/>
      <c r="C709" s="24"/>
      <c r="D709" s="24"/>
      <c r="E709" s="25"/>
    </row>
    <row r="710">
      <c r="A710" s="24"/>
      <c r="B710" s="24"/>
      <c r="C710" s="24"/>
      <c r="D710" s="24"/>
      <c r="E710" s="25"/>
    </row>
    <row r="711">
      <c r="A711" s="24"/>
      <c r="B711" s="24"/>
      <c r="C711" s="24"/>
      <c r="D711" s="24"/>
      <c r="E711" s="25"/>
    </row>
    <row r="712">
      <c r="A712" s="24"/>
      <c r="B712" s="24"/>
      <c r="C712" s="24"/>
      <c r="D712" s="24"/>
      <c r="E712" s="25"/>
    </row>
    <row r="713">
      <c r="A713" s="24"/>
      <c r="B713" s="24"/>
      <c r="C713" s="24"/>
      <c r="D713" s="24"/>
      <c r="E713" s="25"/>
    </row>
    <row r="714">
      <c r="A714" s="24"/>
      <c r="B714" s="24"/>
      <c r="C714" s="24"/>
      <c r="D714" s="24"/>
      <c r="E714" s="25"/>
    </row>
    <row r="715">
      <c r="A715" s="24"/>
      <c r="B715" s="24"/>
      <c r="C715" s="24"/>
      <c r="D715" s="24"/>
      <c r="E715" s="25"/>
    </row>
    <row r="716">
      <c r="A716" s="24"/>
      <c r="B716" s="24"/>
      <c r="C716" s="24"/>
      <c r="D716" s="24"/>
      <c r="E716" s="25"/>
    </row>
    <row r="717">
      <c r="A717" s="24"/>
      <c r="B717" s="24"/>
      <c r="C717" s="24"/>
      <c r="D717" s="24"/>
      <c r="E717" s="25"/>
    </row>
    <row r="718">
      <c r="A718" s="24"/>
      <c r="B718" s="24"/>
      <c r="C718" s="24"/>
      <c r="D718" s="24"/>
      <c r="E718" s="25"/>
    </row>
    <row r="719">
      <c r="A719" s="24"/>
      <c r="B719" s="24"/>
      <c r="C719" s="24"/>
      <c r="D719" s="24"/>
      <c r="E719" s="25"/>
    </row>
    <row r="720">
      <c r="A720" s="24"/>
      <c r="B720" s="24"/>
      <c r="C720" s="24"/>
      <c r="D720" s="24"/>
      <c r="E720" s="25"/>
    </row>
    <row r="721">
      <c r="A721" s="24"/>
      <c r="B721" s="24"/>
      <c r="C721" s="24"/>
      <c r="D721" s="24"/>
      <c r="E721" s="25"/>
    </row>
    <row r="722">
      <c r="A722" s="24"/>
      <c r="B722" s="24"/>
      <c r="C722" s="24"/>
      <c r="D722" s="24"/>
      <c r="E722" s="25"/>
    </row>
    <row r="723">
      <c r="A723" s="24"/>
      <c r="B723" s="24"/>
      <c r="C723" s="24"/>
      <c r="D723" s="24"/>
      <c r="E723" s="25"/>
    </row>
    <row r="724">
      <c r="A724" s="24"/>
      <c r="B724" s="24"/>
      <c r="C724" s="24"/>
      <c r="D724" s="24"/>
      <c r="E724" s="25"/>
    </row>
    <row r="725">
      <c r="A725" s="24"/>
      <c r="B725" s="24"/>
      <c r="C725" s="24"/>
      <c r="D725" s="24"/>
      <c r="E725" s="25"/>
    </row>
    <row r="726">
      <c r="A726" s="24"/>
      <c r="B726" s="24"/>
      <c r="C726" s="24"/>
      <c r="D726" s="24"/>
      <c r="E726" s="25"/>
    </row>
    <row r="727">
      <c r="A727" s="24"/>
      <c r="B727" s="24"/>
      <c r="C727" s="24"/>
      <c r="D727" s="24"/>
      <c r="E727" s="25"/>
    </row>
    <row r="728">
      <c r="A728" s="24"/>
      <c r="B728" s="24"/>
      <c r="C728" s="24"/>
      <c r="D728" s="24"/>
      <c r="E728" s="25"/>
    </row>
    <row r="729">
      <c r="A729" s="24"/>
      <c r="B729" s="24"/>
      <c r="C729" s="24"/>
      <c r="D729" s="24"/>
      <c r="E729" s="25"/>
    </row>
    <row r="730">
      <c r="A730" s="24"/>
      <c r="B730" s="24"/>
      <c r="C730" s="24"/>
      <c r="D730" s="24"/>
      <c r="E730" s="25"/>
    </row>
    <row r="731">
      <c r="A731" s="24"/>
      <c r="B731" s="24"/>
      <c r="C731" s="24"/>
      <c r="D731" s="24"/>
      <c r="E731" s="25"/>
    </row>
    <row r="732">
      <c r="A732" s="24"/>
      <c r="B732" s="24"/>
      <c r="C732" s="24"/>
      <c r="D732" s="24"/>
      <c r="E732" s="25"/>
    </row>
    <row r="733">
      <c r="A733" s="24"/>
      <c r="B733" s="24"/>
      <c r="C733" s="24"/>
      <c r="D733" s="24"/>
      <c r="E733" s="25"/>
    </row>
    <row r="734">
      <c r="A734" s="24"/>
      <c r="B734" s="24"/>
      <c r="C734" s="24"/>
      <c r="D734" s="24"/>
      <c r="E734" s="25"/>
    </row>
    <row r="735">
      <c r="A735" s="24"/>
      <c r="B735" s="24"/>
      <c r="C735" s="24"/>
      <c r="D735" s="24"/>
      <c r="E735" s="25"/>
    </row>
    <row r="736">
      <c r="A736" s="24"/>
      <c r="B736" s="24"/>
      <c r="C736" s="24"/>
      <c r="D736" s="24"/>
      <c r="E736" s="25"/>
    </row>
    <row r="737">
      <c r="A737" s="24"/>
      <c r="B737" s="24"/>
      <c r="C737" s="24"/>
      <c r="D737" s="24"/>
      <c r="E737" s="25"/>
    </row>
    <row r="738">
      <c r="A738" s="24"/>
      <c r="B738" s="24"/>
      <c r="C738" s="24"/>
      <c r="D738" s="24"/>
      <c r="E738" s="25"/>
    </row>
    <row r="739">
      <c r="A739" s="24"/>
      <c r="B739" s="24"/>
      <c r="C739" s="24"/>
      <c r="D739" s="24"/>
      <c r="E739" s="25"/>
    </row>
    <row r="740">
      <c r="A740" s="24"/>
      <c r="B740" s="24"/>
      <c r="C740" s="24"/>
      <c r="D740" s="24"/>
      <c r="E740" s="25"/>
    </row>
    <row r="741">
      <c r="A741" s="24"/>
      <c r="B741" s="24"/>
      <c r="C741" s="24"/>
      <c r="D741" s="24"/>
      <c r="E741" s="25"/>
    </row>
    <row r="742">
      <c r="A742" s="24"/>
      <c r="B742" s="24"/>
      <c r="C742" s="24"/>
      <c r="D742" s="24"/>
      <c r="E742" s="25"/>
    </row>
    <row r="743">
      <c r="A743" s="24"/>
      <c r="B743" s="24"/>
      <c r="C743" s="24"/>
      <c r="D743" s="24"/>
      <c r="E743" s="25"/>
    </row>
    <row r="744">
      <c r="A744" s="24"/>
      <c r="B744" s="24"/>
      <c r="C744" s="24"/>
      <c r="D744" s="24"/>
      <c r="E744" s="25"/>
    </row>
    <row r="745">
      <c r="A745" s="24"/>
      <c r="B745" s="24"/>
      <c r="C745" s="24"/>
      <c r="D745" s="24"/>
      <c r="E745" s="25"/>
    </row>
    <row r="746">
      <c r="A746" s="24"/>
      <c r="B746" s="24"/>
      <c r="C746" s="24"/>
      <c r="D746" s="24"/>
      <c r="E746" s="25"/>
    </row>
    <row r="747">
      <c r="A747" s="24"/>
      <c r="B747" s="24"/>
      <c r="C747" s="24"/>
      <c r="D747" s="24"/>
      <c r="E747" s="25"/>
    </row>
    <row r="748">
      <c r="A748" s="24"/>
      <c r="B748" s="24"/>
      <c r="C748" s="24"/>
      <c r="D748" s="24"/>
      <c r="E748" s="25"/>
    </row>
    <row r="749">
      <c r="A749" s="24"/>
      <c r="B749" s="24"/>
      <c r="C749" s="24"/>
      <c r="D749" s="24"/>
      <c r="E749" s="25"/>
    </row>
    <row r="750">
      <c r="A750" s="24"/>
      <c r="B750" s="24"/>
      <c r="C750" s="24"/>
      <c r="D750" s="24"/>
      <c r="E750" s="25"/>
    </row>
    <row r="751">
      <c r="A751" s="24"/>
      <c r="B751" s="24"/>
      <c r="C751" s="24"/>
      <c r="D751" s="24"/>
      <c r="E751" s="25"/>
    </row>
    <row r="752">
      <c r="A752" s="24"/>
      <c r="B752" s="24"/>
      <c r="C752" s="24"/>
      <c r="D752" s="24"/>
      <c r="E752" s="25"/>
    </row>
    <row r="753">
      <c r="A753" s="24"/>
      <c r="B753" s="24"/>
      <c r="C753" s="24"/>
      <c r="D753" s="24"/>
      <c r="E753" s="25"/>
    </row>
    <row r="754">
      <c r="A754" s="24"/>
      <c r="B754" s="24"/>
      <c r="C754" s="24"/>
      <c r="D754" s="24"/>
      <c r="E754" s="25"/>
    </row>
    <row r="755">
      <c r="A755" s="24"/>
      <c r="B755" s="24"/>
      <c r="C755" s="24"/>
      <c r="D755" s="24"/>
      <c r="E755" s="25"/>
    </row>
    <row r="756">
      <c r="A756" s="24"/>
      <c r="B756" s="24"/>
      <c r="C756" s="24"/>
      <c r="D756" s="24"/>
      <c r="E756" s="25"/>
    </row>
    <row r="757">
      <c r="A757" s="24"/>
      <c r="B757" s="24"/>
      <c r="C757" s="24"/>
      <c r="D757" s="24"/>
      <c r="E757" s="25"/>
    </row>
    <row r="758">
      <c r="A758" s="24"/>
      <c r="B758" s="24"/>
      <c r="C758" s="24"/>
      <c r="D758" s="24"/>
      <c r="E758" s="25"/>
    </row>
    <row r="759">
      <c r="A759" s="24"/>
      <c r="B759" s="24"/>
      <c r="C759" s="24"/>
      <c r="D759" s="24"/>
      <c r="E759" s="25"/>
    </row>
    <row r="760">
      <c r="A760" s="24"/>
      <c r="B760" s="24"/>
      <c r="C760" s="24"/>
      <c r="D760" s="24"/>
      <c r="E760" s="25"/>
    </row>
    <row r="761">
      <c r="A761" s="24"/>
      <c r="B761" s="24"/>
      <c r="C761" s="24"/>
      <c r="D761" s="24"/>
      <c r="E761" s="25"/>
    </row>
    <row r="762">
      <c r="A762" s="24"/>
      <c r="B762" s="24"/>
      <c r="C762" s="24"/>
      <c r="D762" s="24"/>
      <c r="E762" s="25"/>
    </row>
    <row r="763">
      <c r="A763" s="24"/>
      <c r="B763" s="24"/>
      <c r="C763" s="24"/>
      <c r="D763" s="24"/>
      <c r="E763" s="25"/>
    </row>
    <row r="764">
      <c r="A764" s="24"/>
      <c r="B764" s="24"/>
      <c r="C764" s="24"/>
      <c r="D764" s="24"/>
      <c r="E764" s="25"/>
    </row>
    <row r="765">
      <c r="A765" s="24"/>
      <c r="B765" s="24"/>
      <c r="C765" s="24"/>
      <c r="D765" s="24"/>
      <c r="E765" s="25"/>
    </row>
    <row r="766">
      <c r="A766" s="24"/>
      <c r="B766" s="24"/>
      <c r="C766" s="24"/>
      <c r="D766" s="24"/>
      <c r="E766" s="25"/>
    </row>
    <row r="767">
      <c r="A767" s="24"/>
      <c r="B767" s="24"/>
      <c r="C767" s="24"/>
      <c r="D767" s="24"/>
      <c r="E767" s="25"/>
    </row>
    <row r="768">
      <c r="A768" s="24"/>
      <c r="B768" s="24"/>
      <c r="C768" s="24"/>
      <c r="D768" s="24"/>
      <c r="E768" s="25"/>
    </row>
    <row r="769">
      <c r="A769" s="24"/>
      <c r="B769" s="24"/>
      <c r="C769" s="24"/>
      <c r="D769" s="24"/>
      <c r="E769" s="25"/>
    </row>
    <row r="770">
      <c r="A770" s="24"/>
      <c r="B770" s="24"/>
      <c r="C770" s="24"/>
      <c r="D770" s="24"/>
      <c r="E770" s="25"/>
    </row>
    <row r="771">
      <c r="A771" s="24"/>
      <c r="B771" s="24"/>
      <c r="C771" s="24"/>
      <c r="D771" s="24"/>
      <c r="E771" s="25"/>
    </row>
    <row r="772">
      <c r="A772" s="24"/>
      <c r="B772" s="24"/>
      <c r="C772" s="24"/>
      <c r="D772" s="24"/>
      <c r="E772" s="25"/>
    </row>
    <row r="773">
      <c r="A773" s="24"/>
      <c r="B773" s="24"/>
      <c r="C773" s="24"/>
      <c r="D773" s="24"/>
      <c r="E773" s="25"/>
    </row>
    <row r="774">
      <c r="A774" s="24"/>
      <c r="B774" s="24"/>
      <c r="C774" s="24"/>
      <c r="D774" s="24"/>
      <c r="E774" s="25"/>
    </row>
    <row r="775">
      <c r="A775" s="24"/>
      <c r="B775" s="24"/>
      <c r="C775" s="24"/>
      <c r="D775" s="24"/>
      <c r="E775" s="25"/>
    </row>
    <row r="776">
      <c r="A776" s="24"/>
      <c r="B776" s="24"/>
      <c r="C776" s="24"/>
      <c r="D776" s="24"/>
      <c r="E776" s="25"/>
    </row>
    <row r="777">
      <c r="A777" s="24"/>
      <c r="B777" s="24"/>
      <c r="C777" s="24"/>
      <c r="D777" s="24"/>
      <c r="E777" s="25"/>
    </row>
    <row r="778">
      <c r="A778" s="24"/>
      <c r="B778" s="24"/>
      <c r="C778" s="24"/>
      <c r="D778" s="24"/>
      <c r="E778" s="25"/>
    </row>
    <row r="779">
      <c r="A779" s="24"/>
      <c r="B779" s="24"/>
      <c r="C779" s="24"/>
      <c r="D779" s="24"/>
      <c r="E779" s="25"/>
    </row>
    <row r="780">
      <c r="A780" s="24"/>
      <c r="B780" s="24"/>
      <c r="C780" s="24"/>
      <c r="D780" s="24"/>
      <c r="E780" s="25"/>
    </row>
    <row r="781">
      <c r="A781" s="24"/>
      <c r="B781" s="24"/>
      <c r="C781" s="24"/>
      <c r="D781" s="24"/>
      <c r="E781" s="25"/>
    </row>
    <row r="782">
      <c r="A782" s="24"/>
      <c r="B782" s="24"/>
      <c r="C782" s="24"/>
      <c r="D782" s="24"/>
      <c r="E782" s="25"/>
    </row>
    <row r="783">
      <c r="A783" s="24"/>
      <c r="B783" s="24"/>
      <c r="C783" s="24"/>
      <c r="D783" s="24"/>
      <c r="E783" s="25"/>
    </row>
    <row r="784">
      <c r="A784" s="24"/>
      <c r="B784" s="24"/>
      <c r="C784" s="24"/>
      <c r="D784" s="24"/>
      <c r="E784" s="25"/>
    </row>
    <row r="785">
      <c r="A785" s="24"/>
      <c r="B785" s="24"/>
      <c r="C785" s="24"/>
      <c r="D785" s="24"/>
      <c r="E785" s="25"/>
    </row>
    <row r="786">
      <c r="A786" s="24"/>
      <c r="B786" s="24"/>
      <c r="C786" s="24"/>
      <c r="D786" s="24"/>
      <c r="E786" s="25"/>
    </row>
    <row r="787">
      <c r="A787" s="24"/>
      <c r="B787" s="24"/>
      <c r="C787" s="24"/>
      <c r="D787" s="24"/>
      <c r="E787" s="25"/>
    </row>
    <row r="788">
      <c r="A788" s="24"/>
      <c r="B788" s="24"/>
      <c r="C788" s="24"/>
      <c r="D788" s="24"/>
      <c r="E788" s="25"/>
    </row>
    <row r="789">
      <c r="A789" s="24"/>
      <c r="B789" s="24"/>
      <c r="C789" s="24"/>
      <c r="D789" s="24"/>
      <c r="E789" s="25"/>
    </row>
    <row r="790">
      <c r="A790" s="24"/>
      <c r="B790" s="24"/>
      <c r="C790" s="24"/>
      <c r="D790" s="24"/>
      <c r="E790" s="25"/>
    </row>
    <row r="791">
      <c r="A791" s="24"/>
      <c r="B791" s="24"/>
      <c r="C791" s="24"/>
      <c r="D791" s="24"/>
      <c r="E791" s="25"/>
    </row>
    <row r="792">
      <c r="A792" s="24"/>
      <c r="B792" s="24"/>
      <c r="C792" s="24"/>
      <c r="D792" s="24"/>
      <c r="E792" s="25"/>
    </row>
    <row r="793">
      <c r="A793" s="24"/>
      <c r="B793" s="24"/>
      <c r="C793" s="24"/>
      <c r="D793" s="24"/>
      <c r="E793" s="25"/>
    </row>
    <row r="794">
      <c r="A794" s="24"/>
      <c r="B794" s="24"/>
      <c r="C794" s="24"/>
      <c r="D794" s="24"/>
      <c r="E794" s="25"/>
    </row>
    <row r="795">
      <c r="A795" s="24"/>
      <c r="B795" s="24"/>
      <c r="C795" s="24"/>
      <c r="D795" s="24"/>
      <c r="E795" s="25"/>
    </row>
    <row r="796">
      <c r="A796" s="24"/>
      <c r="B796" s="24"/>
      <c r="C796" s="24"/>
      <c r="D796" s="24"/>
      <c r="E796" s="25"/>
    </row>
    <row r="797">
      <c r="A797" s="24"/>
      <c r="B797" s="24"/>
      <c r="C797" s="24"/>
      <c r="D797" s="24"/>
      <c r="E797" s="25"/>
    </row>
    <row r="798">
      <c r="A798" s="24"/>
      <c r="B798" s="24"/>
      <c r="C798" s="24"/>
      <c r="D798" s="24"/>
      <c r="E798" s="25"/>
    </row>
    <row r="799">
      <c r="A799" s="24"/>
      <c r="B799" s="24"/>
      <c r="C799" s="24"/>
      <c r="D799" s="24"/>
      <c r="E799" s="25"/>
    </row>
    <row r="800">
      <c r="A800" s="24"/>
      <c r="B800" s="24"/>
      <c r="C800" s="24"/>
      <c r="D800" s="24"/>
      <c r="E800" s="25"/>
    </row>
    <row r="801">
      <c r="A801" s="24"/>
      <c r="B801" s="24"/>
      <c r="C801" s="24"/>
      <c r="D801" s="24"/>
      <c r="E801" s="25"/>
    </row>
    <row r="802">
      <c r="A802" s="24"/>
      <c r="B802" s="24"/>
      <c r="C802" s="24"/>
      <c r="D802" s="24"/>
      <c r="E802" s="25"/>
    </row>
    <row r="803">
      <c r="A803" s="24"/>
      <c r="B803" s="24"/>
      <c r="C803" s="24"/>
      <c r="D803" s="24"/>
      <c r="E803" s="25"/>
    </row>
    <row r="804">
      <c r="A804" s="24"/>
      <c r="B804" s="24"/>
      <c r="C804" s="24"/>
      <c r="D804" s="24"/>
      <c r="E804" s="25"/>
    </row>
    <row r="805">
      <c r="A805" s="24"/>
      <c r="B805" s="24"/>
      <c r="C805" s="24"/>
      <c r="D805" s="24"/>
      <c r="E805" s="25"/>
    </row>
    <row r="806">
      <c r="A806" s="24"/>
      <c r="B806" s="24"/>
      <c r="C806" s="24"/>
      <c r="D806" s="24"/>
      <c r="E806" s="25"/>
    </row>
    <row r="807">
      <c r="A807" s="24"/>
      <c r="B807" s="24"/>
      <c r="C807" s="24"/>
      <c r="D807" s="24"/>
      <c r="E807" s="25"/>
    </row>
    <row r="808">
      <c r="A808" s="24"/>
      <c r="B808" s="24"/>
      <c r="C808" s="24"/>
      <c r="D808" s="24"/>
      <c r="E808" s="25"/>
    </row>
    <row r="809">
      <c r="A809" s="24"/>
      <c r="B809" s="24"/>
      <c r="C809" s="24"/>
      <c r="D809" s="24"/>
      <c r="E809" s="25"/>
    </row>
    <row r="810">
      <c r="A810" s="24"/>
      <c r="B810" s="24"/>
      <c r="C810" s="24"/>
      <c r="D810" s="24"/>
      <c r="E810" s="25"/>
    </row>
    <row r="811">
      <c r="A811" s="24"/>
      <c r="B811" s="24"/>
      <c r="C811" s="24"/>
      <c r="D811" s="24"/>
      <c r="E811" s="25"/>
    </row>
    <row r="812">
      <c r="A812" s="24"/>
      <c r="B812" s="24"/>
      <c r="C812" s="24"/>
      <c r="D812" s="24"/>
      <c r="E812" s="25"/>
    </row>
    <row r="813">
      <c r="A813" s="24"/>
      <c r="B813" s="24"/>
      <c r="C813" s="24"/>
      <c r="D813" s="24"/>
      <c r="E813" s="25"/>
    </row>
    <row r="814">
      <c r="A814" s="24"/>
      <c r="B814" s="24"/>
      <c r="C814" s="24"/>
      <c r="D814" s="24"/>
      <c r="E814" s="25"/>
    </row>
    <row r="815">
      <c r="A815" s="24"/>
      <c r="B815" s="24"/>
      <c r="C815" s="24"/>
      <c r="D815" s="24"/>
      <c r="E815" s="25"/>
    </row>
    <row r="816">
      <c r="A816" s="24"/>
      <c r="B816" s="24"/>
      <c r="C816" s="24"/>
      <c r="D816" s="24"/>
      <c r="E816" s="25"/>
    </row>
    <row r="817">
      <c r="A817" s="24"/>
      <c r="B817" s="24"/>
      <c r="C817" s="24"/>
      <c r="D817" s="24"/>
      <c r="E817" s="25"/>
    </row>
    <row r="818">
      <c r="A818" s="24"/>
      <c r="B818" s="24"/>
      <c r="C818" s="24"/>
      <c r="D818" s="24"/>
      <c r="E818" s="25"/>
    </row>
    <row r="819">
      <c r="A819" s="24"/>
      <c r="B819" s="24"/>
      <c r="C819" s="24"/>
      <c r="D819" s="24"/>
      <c r="E819" s="25"/>
    </row>
    <row r="820">
      <c r="A820" s="24"/>
      <c r="B820" s="24"/>
      <c r="C820" s="24"/>
      <c r="D820" s="24"/>
      <c r="E820" s="25"/>
    </row>
    <row r="821">
      <c r="A821" s="24"/>
      <c r="B821" s="24"/>
      <c r="C821" s="24"/>
      <c r="D821" s="24"/>
      <c r="E821" s="25"/>
    </row>
    <row r="822">
      <c r="A822" s="24"/>
      <c r="B822" s="24"/>
      <c r="C822" s="24"/>
      <c r="D822" s="24"/>
      <c r="E822" s="25"/>
    </row>
    <row r="823">
      <c r="A823" s="24"/>
      <c r="B823" s="24"/>
      <c r="C823" s="24"/>
      <c r="D823" s="24"/>
      <c r="E823" s="25"/>
    </row>
    <row r="824">
      <c r="A824" s="24"/>
      <c r="B824" s="24"/>
      <c r="C824" s="24"/>
      <c r="D824" s="24"/>
      <c r="E824" s="25"/>
    </row>
    <row r="825">
      <c r="A825" s="24"/>
      <c r="B825" s="24"/>
      <c r="C825" s="24"/>
      <c r="D825" s="24"/>
      <c r="E825" s="25"/>
    </row>
    <row r="826">
      <c r="A826" s="24"/>
      <c r="B826" s="24"/>
      <c r="C826" s="24"/>
      <c r="D826" s="24"/>
      <c r="E826" s="25"/>
    </row>
    <row r="827">
      <c r="A827" s="24"/>
      <c r="B827" s="24"/>
      <c r="C827" s="24"/>
      <c r="D827" s="24"/>
      <c r="E827" s="25"/>
    </row>
    <row r="828">
      <c r="A828" s="24"/>
      <c r="B828" s="24"/>
      <c r="C828" s="24"/>
      <c r="D828" s="24"/>
      <c r="E828" s="25"/>
    </row>
    <row r="829">
      <c r="A829" s="24"/>
      <c r="B829" s="24"/>
      <c r="C829" s="24"/>
      <c r="D829" s="24"/>
      <c r="E829" s="25"/>
    </row>
    <row r="830">
      <c r="A830" s="24"/>
      <c r="B830" s="24"/>
      <c r="C830" s="24"/>
      <c r="D830" s="24"/>
      <c r="E830" s="25"/>
    </row>
    <row r="831">
      <c r="A831" s="24"/>
      <c r="B831" s="24"/>
      <c r="C831" s="24"/>
      <c r="D831" s="24"/>
      <c r="E831" s="25"/>
    </row>
    <row r="832">
      <c r="A832" s="24"/>
      <c r="B832" s="24"/>
      <c r="C832" s="24"/>
      <c r="D832" s="24"/>
      <c r="E832" s="25"/>
    </row>
    <row r="833">
      <c r="A833" s="24"/>
      <c r="B833" s="24"/>
      <c r="C833" s="24"/>
      <c r="D833" s="24"/>
      <c r="E833" s="25"/>
    </row>
    <row r="834">
      <c r="A834" s="24"/>
      <c r="B834" s="24"/>
      <c r="C834" s="24"/>
      <c r="D834" s="24"/>
      <c r="E834" s="25"/>
    </row>
    <row r="835">
      <c r="A835" s="24"/>
      <c r="B835" s="24"/>
      <c r="C835" s="24"/>
      <c r="D835" s="24"/>
      <c r="E835" s="25"/>
    </row>
    <row r="836">
      <c r="A836" s="24"/>
      <c r="B836" s="24"/>
      <c r="C836" s="24"/>
      <c r="D836" s="24"/>
      <c r="E836" s="25"/>
    </row>
    <row r="837">
      <c r="A837" s="24"/>
      <c r="B837" s="24"/>
      <c r="C837" s="24"/>
      <c r="D837" s="24"/>
      <c r="E837" s="25"/>
    </row>
    <row r="838">
      <c r="A838" s="24"/>
      <c r="B838" s="24"/>
      <c r="C838" s="24"/>
      <c r="D838" s="24"/>
      <c r="E838" s="25"/>
    </row>
    <row r="839">
      <c r="A839" s="24"/>
      <c r="B839" s="24"/>
      <c r="C839" s="24"/>
      <c r="D839" s="24"/>
      <c r="E839" s="25"/>
    </row>
    <row r="840">
      <c r="A840" s="24"/>
      <c r="B840" s="24"/>
      <c r="C840" s="24"/>
      <c r="D840" s="24"/>
      <c r="E840" s="25"/>
    </row>
    <row r="841">
      <c r="A841" s="24"/>
      <c r="B841" s="24"/>
      <c r="C841" s="24"/>
      <c r="D841" s="24"/>
      <c r="E841" s="25"/>
    </row>
    <row r="842">
      <c r="A842" s="24"/>
      <c r="B842" s="24"/>
      <c r="C842" s="24"/>
      <c r="D842" s="24"/>
      <c r="E842" s="25"/>
    </row>
    <row r="843">
      <c r="A843" s="24"/>
      <c r="B843" s="24"/>
      <c r="C843" s="24"/>
      <c r="D843" s="24"/>
      <c r="E843" s="25"/>
    </row>
    <row r="844">
      <c r="A844" s="24"/>
      <c r="B844" s="24"/>
      <c r="C844" s="24"/>
      <c r="D844" s="24"/>
      <c r="E844" s="25"/>
    </row>
    <row r="845">
      <c r="A845" s="24"/>
      <c r="B845" s="24"/>
      <c r="C845" s="24"/>
      <c r="D845" s="24"/>
      <c r="E845" s="25"/>
    </row>
    <row r="846">
      <c r="A846" s="24"/>
      <c r="B846" s="24"/>
      <c r="C846" s="24"/>
      <c r="D846" s="24"/>
      <c r="E846" s="25"/>
    </row>
    <row r="847">
      <c r="A847" s="24"/>
      <c r="B847" s="24"/>
      <c r="C847" s="24"/>
      <c r="D847" s="24"/>
      <c r="E847" s="25"/>
    </row>
    <row r="848">
      <c r="A848" s="24"/>
      <c r="B848" s="24"/>
      <c r="C848" s="24"/>
      <c r="D848" s="24"/>
      <c r="E848" s="25"/>
    </row>
    <row r="849">
      <c r="A849" s="24"/>
      <c r="B849" s="24"/>
      <c r="C849" s="24"/>
      <c r="D849" s="24"/>
      <c r="E849" s="25"/>
    </row>
    <row r="850">
      <c r="A850" s="24"/>
      <c r="B850" s="24"/>
      <c r="C850" s="24"/>
      <c r="D850" s="24"/>
      <c r="E850" s="25"/>
    </row>
    <row r="851">
      <c r="A851" s="24"/>
      <c r="B851" s="24"/>
      <c r="C851" s="24"/>
      <c r="D851" s="24"/>
      <c r="E851" s="25"/>
    </row>
    <row r="852">
      <c r="A852" s="24"/>
      <c r="B852" s="24"/>
      <c r="C852" s="24"/>
      <c r="D852" s="24"/>
      <c r="E852" s="25"/>
    </row>
    <row r="853">
      <c r="A853" s="24"/>
      <c r="B853" s="24"/>
      <c r="C853" s="24"/>
      <c r="D853" s="24"/>
      <c r="E853" s="25"/>
    </row>
    <row r="854">
      <c r="A854" s="24"/>
      <c r="B854" s="24"/>
      <c r="C854" s="24"/>
      <c r="D854" s="24"/>
      <c r="E854" s="25"/>
    </row>
    <row r="855">
      <c r="A855" s="24"/>
      <c r="B855" s="24"/>
      <c r="C855" s="24"/>
      <c r="D855" s="24"/>
      <c r="E855" s="25"/>
    </row>
    <row r="856">
      <c r="A856" s="24"/>
      <c r="B856" s="24"/>
      <c r="C856" s="24"/>
      <c r="D856" s="24"/>
      <c r="E856" s="25"/>
    </row>
    <row r="857">
      <c r="A857" s="24"/>
      <c r="B857" s="24"/>
      <c r="C857" s="24"/>
      <c r="D857" s="24"/>
      <c r="E857" s="25"/>
    </row>
    <row r="858">
      <c r="A858" s="24"/>
      <c r="B858" s="24"/>
      <c r="C858" s="24"/>
      <c r="D858" s="24"/>
      <c r="E858" s="25"/>
    </row>
    <row r="859">
      <c r="A859" s="24"/>
      <c r="B859" s="24"/>
      <c r="C859" s="24"/>
      <c r="D859" s="24"/>
      <c r="E859" s="25"/>
    </row>
    <row r="860">
      <c r="A860" s="24"/>
      <c r="B860" s="24"/>
      <c r="C860" s="24"/>
      <c r="D860" s="24"/>
      <c r="E860" s="25"/>
    </row>
    <row r="861">
      <c r="A861" s="24"/>
      <c r="B861" s="24"/>
      <c r="C861" s="24"/>
      <c r="D861" s="24"/>
      <c r="E861" s="25"/>
    </row>
    <row r="862">
      <c r="A862" s="24"/>
      <c r="B862" s="24"/>
      <c r="C862" s="24"/>
      <c r="D862" s="24"/>
      <c r="E862" s="25"/>
    </row>
    <row r="863">
      <c r="A863" s="24"/>
      <c r="B863" s="24"/>
      <c r="C863" s="24"/>
      <c r="D863" s="24"/>
      <c r="E863" s="25"/>
    </row>
    <row r="864">
      <c r="A864" s="24"/>
      <c r="B864" s="24"/>
      <c r="C864" s="24"/>
      <c r="D864" s="24"/>
      <c r="E864" s="25"/>
    </row>
    <row r="865">
      <c r="A865" s="24"/>
      <c r="B865" s="24"/>
      <c r="C865" s="24"/>
      <c r="D865" s="24"/>
      <c r="E865" s="25"/>
    </row>
    <row r="866">
      <c r="A866" s="24"/>
      <c r="B866" s="24"/>
      <c r="C866" s="24"/>
      <c r="D866" s="24"/>
      <c r="E866" s="25"/>
    </row>
    <row r="867">
      <c r="A867" s="24"/>
      <c r="B867" s="24"/>
      <c r="C867" s="24"/>
      <c r="D867" s="24"/>
      <c r="E867" s="25"/>
    </row>
    <row r="868">
      <c r="A868" s="24"/>
      <c r="B868" s="24"/>
      <c r="C868" s="24"/>
      <c r="D868" s="24"/>
      <c r="E868" s="25"/>
    </row>
    <row r="869">
      <c r="A869" s="24"/>
      <c r="B869" s="24"/>
      <c r="C869" s="24"/>
      <c r="D869" s="24"/>
      <c r="E869" s="25"/>
    </row>
    <row r="870">
      <c r="A870" s="24"/>
      <c r="B870" s="24"/>
      <c r="C870" s="24"/>
      <c r="D870" s="24"/>
      <c r="E870" s="25"/>
    </row>
    <row r="871">
      <c r="A871" s="24"/>
      <c r="B871" s="24"/>
      <c r="C871" s="24"/>
      <c r="D871" s="24"/>
      <c r="E871" s="25"/>
    </row>
    <row r="872">
      <c r="A872" s="24"/>
      <c r="B872" s="24"/>
      <c r="C872" s="24"/>
      <c r="D872" s="24"/>
      <c r="E872" s="25"/>
    </row>
    <row r="873">
      <c r="A873" s="24"/>
      <c r="B873" s="24"/>
      <c r="C873" s="24"/>
      <c r="D873" s="24"/>
      <c r="E873" s="25"/>
    </row>
    <row r="874">
      <c r="A874" s="24"/>
      <c r="B874" s="24"/>
      <c r="C874" s="24"/>
      <c r="D874" s="24"/>
      <c r="E874" s="25"/>
    </row>
    <row r="875">
      <c r="A875" s="24"/>
      <c r="B875" s="24"/>
      <c r="C875" s="24"/>
      <c r="D875" s="24"/>
      <c r="E875" s="25"/>
    </row>
    <row r="876">
      <c r="A876" s="24"/>
      <c r="B876" s="24"/>
      <c r="C876" s="24"/>
      <c r="D876" s="24"/>
      <c r="E876" s="25"/>
    </row>
    <row r="877">
      <c r="A877" s="24"/>
      <c r="B877" s="24"/>
      <c r="C877" s="24"/>
      <c r="D877" s="24"/>
      <c r="E877" s="25"/>
    </row>
    <row r="878">
      <c r="A878" s="24"/>
      <c r="B878" s="24"/>
      <c r="C878" s="24"/>
      <c r="D878" s="24"/>
      <c r="E878" s="25"/>
    </row>
    <row r="879">
      <c r="A879" s="24"/>
      <c r="B879" s="24"/>
      <c r="C879" s="24"/>
      <c r="D879" s="24"/>
      <c r="E879" s="25"/>
    </row>
    <row r="880">
      <c r="A880" s="24"/>
      <c r="B880" s="24"/>
      <c r="C880" s="24"/>
      <c r="D880" s="24"/>
      <c r="E880" s="25"/>
    </row>
    <row r="881">
      <c r="A881" s="24"/>
      <c r="B881" s="24"/>
      <c r="C881" s="24"/>
      <c r="D881" s="24"/>
      <c r="E881" s="25"/>
    </row>
    <row r="882">
      <c r="A882" s="24"/>
      <c r="B882" s="24"/>
      <c r="C882" s="24"/>
      <c r="D882" s="24"/>
      <c r="E882" s="25"/>
    </row>
    <row r="883">
      <c r="A883" s="24"/>
      <c r="B883" s="24"/>
      <c r="C883" s="24"/>
      <c r="D883" s="24"/>
      <c r="E883" s="25"/>
    </row>
    <row r="884">
      <c r="A884" s="24"/>
      <c r="B884" s="24"/>
      <c r="C884" s="24"/>
      <c r="D884" s="24"/>
      <c r="E884" s="25"/>
    </row>
    <row r="885">
      <c r="A885" s="24"/>
      <c r="B885" s="24"/>
      <c r="C885" s="24"/>
      <c r="D885" s="24"/>
      <c r="E885" s="25"/>
    </row>
    <row r="886">
      <c r="A886" s="24"/>
      <c r="B886" s="24"/>
      <c r="C886" s="24"/>
      <c r="D886" s="24"/>
      <c r="E886" s="25"/>
    </row>
    <row r="887">
      <c r="A887" s="24"/>
      <c r="B887" s="24"/>
      <c r="C887" s="24"/>
      <c r="D887" s="24"/>
      <c r="E887" s="25"/>
    </row>
    <row r="888">
      <c r="A888" s="24"/>
      <c r="B888" s="24"/>
      <c r="C888" s="24"/>
      <c r="D888" s="24"/>
      <c r="E888" s="25"/>
    </row>
    <row r="889">
      <c r="A889" s="24"/>
      <c r="B889" s="24"/>
      <c r="C889" s="24"/>
      <c r="D889" s="24"/>
      <c r="E889" s="25"/>
    </row>
    <row r="890">
      <c r="A890" s="24"/>
      <c r="B890" s="24"/>
      <c r="C890" s="24"/>
      <c r="D890" s="24"/>
      <c r="E890" s="25"/>
    </row>
    <row r="891">
      <c r="A891" s="24"/>
      <c r="B891" s="24"/>
      <c r="C891" s="24"/>
      <c r="D891" s="24"/>
      <c r="E891" s="25"/>
    </row>
    <row r="892">
      <c r="A892" s="24"/>
      <c r="B892" s="24"/>
      <c r="C892" s="24"/>
      <c r="D892" s="24"/>
      <c r="E892" s="25"/>
    </row>
    <row r="893">
      <c r="A893" s="24"/>
      <c r="B893" s="24"/>
      <c r="C893" s="24"/>
      <c r="D893" s="24"/>
      <c r="E893" s="25"/>
    </row>
    <row r="894">
      <c r="A894" s="24"/>
      <c r="B894" s="24"/>
      <c r="C894" s="24"/>
      <c r="D894" s="24"/>
      <c r="E894" s="25"/>
    </row>
    <row r="895">
      <c r="A895" s="24"/>
      <c r="B895" s="24"/>
      <c r="C895" s="24"/>
      <c r="D895" s="24"/>
      <c r="E895" s="25"/>
    </row>
    <row r="896">
      <c r="A896" s="24"/>
      <c r="B896" s="24"/>
      <c r="C896" s="24"/>
      <c r="D896" s="24"/>
      <c r="E896" s="25"/>
    </row>
    <row r="897">
      <c r="A897" s="24"/>
      <c r="B897" s="24"/>
      <c r="C897" s="24"/>
      <c r="D897" s="24"/>
      <c r="E897" s="25"/>
    </row>
    <row r="898">
      <c r="A898" s="24"/>
      <c r="B898" s="24"/>
      <c r="C898" s="24"/>
      <c r="D898" s="24"/>
      <c r="E898" s="25"/>
    </row>
    <row r="899">
      <c r="A899" s="24"/>
      <c r="B899" s="24"/>
      <c r="C899" s="24"/>
      <c r="D899" s="24"/>
      <c r="E899" s="25"/>
    </row>
    <row r="900">
      <c r="A900" s="24"/>
      <c r="B900" s="24"/>
      <c r="C900" s="24"/>
      <c r="D900" s="24"/>
      <c r="E900" s="25"/>
    </row>
    <row r="901">
      <c r="A901" s="24"/>
      <c r="B901" s="24"/>
      <c r="C901" s="24"/>
      <c r="D901" s="24"/>
      <c r="E901" s="25"/>
    </row>
    <row r="902">
      <c r="A902" s="24"/>
      <c r="B902" s="24"/>
      <c r="C902" s="24"/>
      <c r="D902" s="24"/>
      <c r="E902" s="25"/>
    </row>
    <row r="903">
      <c r="A903" s="24"/>
      <c r="B903" s="24"/>
      <c r="C903" s="24"/>
      <c r="D903" s="24"/>
      <c r="E903" s="25"/>
    </row>
    <row r="904">
      <c r="A904" s="24"/>
      <c r="B904" s="24"/>
      <c r="C904" s="24"/>
      <c r="D904" s="24"/>
      <c r="E904" s="25"/>
    </row>
    <row r="905">
      <c r="A905" s="24"/>
      <c r="B905" s="24"/>
      <c r="C905" s="24"/>
      <c r="D905" s="24"/>
      <c r="E905" s="25"/>
    </row>
    <row r="906">
      <c r="A906" s="24"/>
      <c r="B906" s="24"/>
      <c r="C906" s="24"/>
      <c r="D906" s="24"/>
      <c r="E906" s="25"/>
    </row>
    <row r="907">
      <c r="A907" s="24"/>
      <c r="B907" s="24"/>
      <c r="C907" s="24"/>
      <c r="D907" s="24"/>
      <c r="E907" s="25"/>
    </row>
    <row r="908">
      <c r="A908" s="24"/>
      <c r="B908" s="24"/>
      <c r="C908" s="24"/>
      <c r="D908" s="24"/>
      <c r="E908" s="25"/>
    </row>
    <row r="909">
      <c r="A909" s="24"/>
      <c r="B909" s="24"/>
      <c r="C909" s="24"/>
      <c r="D909" s="24"/>
      <c r="E909" s="25"/>
    </row>
    <row r="910">
      <c r="A910" s="24"/>
      <c r="B910" s="24"/>
      <c r="C910" s="24"/>
      <c r="D910" s="24"/>
      <c r="E910" s="25"/>
    </row>
    <row r="911">
      <c r="A911" s="24"/>
      <c r="B911" s="24"/>
      <c r="C911" s="24"/>
      <c r="D911" s="24"/>
      <c r="E911" s="25"/>
    </row>
    <row r="912">
      <c r="A912" s="24"/>
      <c r="B912" s="24"/>
      <c r="C912" s="24"/>
      <c r="D912" s="24"/>
      <c r="E912" s="25"/>
    </row>
    <row r="913">
      <c r="A913" s="24"/>
      <c r="B913" s="24"/>
      <c r="C913" s="24"/>
      <c r="D913" s="24"/>
      <c r="E913" s="25"/>
    </row>
    <row r="914">
      <c r="A914" s="24"/>
      <c r="B914" s="24"/>
      <c r="C914" s="24"/>
      <c r="D914" s="24"/>
      <c r="E914" s="25"/>
    </row>
    <row r="915">
      <c r="A915" s="24"/>
      <c r="B915" s="24"/>
      <c r="C915" s="24"/>
      <c r="D915" s="24"/>
      <c r="E915" s="25"/>
    </row>
    <row r="916">
      <c r="A916" s="24"/>
      <c r="B916" s="24"/>
      <c r="C916" s="24"/>
      <c r="D916" s="24"/>
      <c r="E916" s="25"/>
    </row>
    <row r="917">
      <c r="A917" s="24"/>
      <c r="B917" s="24"/>
      <c r="C917" s="24"/>
      <c r="D917" s="24"/>
      <c r="E917" s="25"/>
    </row>
    <row r="918">
      <c r="A918" s="24"/>
      <c r="B918" s="24"/>
      <c r="C918" s="24"/>
      <c r="D918" s="24"/>
      <c r="E918" s="25"/>
    </row>
    <row r="919">
      <c r="A919" s="24"/>
      <c r="B919" s="24"/>
      <c r="C919" s="24"/>
      <c r="D919" s="24"/>
      <c r="E919" s="25"/>
    </row>
    <row r="920">
      <c r="A920" s="24"/>
      <c r="B920" s="24"/>
      <c r="C920" s="24"/>
      <c r="D920" s="24"/>
      <c r="E920" s="25"/>
    </row>
    <row r="921">
      <c r="A921" s="24"/>
      <c r="B921" s="24"/>
      <c r="C921" s="24"/>
      <c r="D921" s="24"/>
      <c r="E921" s="25"/>
    </row>
    <row r="922">
      <c r="A922" s="24"/>
      <c r="B922" s="24"/>
      <c r="C922" s="24"/>
      <c r="D922" s="24"/>
      <c r="E922" s="25"/>
    </row>
    <row r="923">
      <c r="A923" s="24"/>
      <c r="B923" s="24"/>
      <c r="C923" s="24"/>
      <c r="D923" s="24"/>
      <c r="E923" s="25"/>
    </row>
    <row r="924">
      <c r="A924" s="24"/>
      <c r="B924" s="24"/>
      <c r="C924" s="24"/>
      <c r="D924" s="24"/>
      <c r="E924" s="25"/>
    </row>
    <row r="925">
      <c r="A925" s="24"/>
      <c r="B925" s="24"/>
      <c r="C925" s="24"/>
      <c r="D925" s="24"/>
      <c r="E925" s="25"/>
    </row>
    <row r="926">
      <c r="A926" s="24"/>
      <c r="B926" s="24"/>
      <c r="C926" s="24"/>
      <c r="D926" s="24"/>
      <c r="E926" s="25"/>
    </row>
    <row r="927">
      <c r="A927" s="24"/>
      <c r="B927" s="24"/>
      <c r="C927" s="24"/>
      <c r="D927" s="24"/>
      <c r="E927" s="25"/>
    </row>
    <row r="928">
      <c r="A928" s="24"/>
      <c r="B928" s="24"/>
      <c r="C928" s="24"/>
      <c r="D928" s="24"/>
      <c r="E928" s="25"/>
    </row>
    <row r="929">
      <c r="A929" s="24"/>
      <c r="B929" s="24"/>
      <c r="C929" s="24"/>
      <c r="D929" s="24"/>
      <c r="E929" s="25"/>
    </row>
    <row r="930">
      <c r="A930" s="24"/>
      <c r="B930" s="24"/>
      <c r="C930" s="24"/>
      <c r="D930" s="24"/>
      <c r="E930" s="25"/>
    </row>
    <row r="931">
      <c r="A931" s="24"/>
      <c r="B931" s="24"/>
      <c r="C931" s="24"/>
      <c r="D931" s="24"/>
      <c r="E931" s="25"/>
    </row>
    <row r="932">
      <c r="A932" s="24"/>
      <c r="B932" s="24"/>
      <c r="C932" s="24"/>
      <c r="D932" s="24"/>
      <c r="E932" s="25"/>
    </row>
    <row r="933">
      <c r="A933" s="24"/>
      <c r="B933" s="24"/>
      <c r="C933" s="24"/>
      <c r="D933" s="24"/>
      <c r="E933" s="25"/>
    </row>
    <row r="934">
      <c r="A934" s="24"/>
      <c r="B934" s="24"/>
      <c r="C934" s="24"/>
      <c r="D934" s="24"/>
      <c r="E934" s="25"/>
    </row>
    <row r="935">
      <c r="A935" s="24"/>
      <c r="B935" s="24"/>
      <c r="C935" s="24"/>
      <c r="D935" s="24"/>
      <c r="E935" s="25"/>
    </row>
    <row r="936">
      <c r="A936" s="24"/>
      <c r="B936" s="24"/>
      <c r="C936" s="24"/>
      <c r="D936" s="24"/>
      <c r="E936" s="25"/>
    </row>
    <row r="937">
      <c r="A937" s="24"/>
      <c r="B937" s="24"/>
      <c r="C937" s="24"/>
      <c r="D937" s="24"/>
      <c r="E937" s="25"/>
    </row>
    <row r="938">
      <c r="A938" s="24"/>
      <c r="B938" s="24"/>
      <c r="C938" s="24"/>
      <c r="D938" s="24"/>
      <c r="E938" s="25"/>
    </row>
    <row r="939">
      <c r="A939" s="24"/>
      <c r="B939" s="24"/>
      <c r="C939" s="24"/>
      <c r="D939" s="24"/>
      <c r="E939" s="25"/>
    </row>
    <row r="940">
      <c r="A940" s="24"/>
      <c r="B940" s="24"/>
      <c r="C940" s="24"/>
      <c r="D940" s="24"/>
      <c r="E940" s="25"/>
    </row>
    <row r="941">
      <c r="A941" s="24"/>
      <c r="B941" s="24"/>
      <c r="C941" s="24"/>
      <c r="D941" s="24"/>
      <c r="E941" s="25"/>
    </row>
    <row r="942">
      <c r="A942" s="24"/>
      <c r="B942" s="24"/>
      <c r="C942" s="24"/>
      <c r="D942" s="24"/>
      <c r="E942" s="25"/>
    </row>
    <row r="943">
      <c r="A943" s="24"/>
      <c r="B943" s="24"/>
      <c r="C943" s="24"/>
      <c r="D943" s="24"/>
      <c r="E943" s="25"/>
    </row>
    <row r="944">
      <c r="A944" s="24"/>
      <c r="B944" s="24"/>
      <c r="C944" s="24"/>
      <c r="D944" s="24"/>
      <c r="E944" s="25"/>
    </row>
    <row r="945">
      <c r="A945" s="24"/>
      <c r="B945" s="24"/>
      <c r="C945" s="24"/>
      <c r="D945" s="24"/>
      <c r="E945" s="25"/>
    </row>
    <row r="946">
      <c r="A946" s="24"/>
      <c r="B946" s="24"/>
      <c r="C946" s="24"/>
      <c r="D946" s="24"/>
      <c r="E946" s="25"/>
    </row>
    <row r="947">
      <c r="A947" s="24"/>
      <c r="B947" s="24"/>
      <c r="C947" s="24"/>
      <c r="D947" s="24"/>
      <c r="E947" s="25"/>
    </row>
    <row r="948">
      <c r="A948" s="24"/>
      <c r="B948" s="24"/>
      <c r="C948" s="24"/>
      <c r="D948" s="24"/>
      <c r="E948" s="25"/>
    </row>
    <row r="949">
      <c r="A949" s="24"/>
      <c r="B949" s="24"/>
      <c r="C949" s="24"/>
      <c r="D949" s="24"/>
      <c r="E949" s="25"/>
    </row>
    <row r="950">
      <c r="A950" s="24"/>
      <c r="B950" s="24"/>
      <c r="C950" s="24"/>
      <c r="D950" s="24"/>
      <c r="E950" s="25"/>
    </row>
    <row r="951">
      <c r="A951" s="24"/>
      <c r="B951" s="24"/>
      <c r="C951" s="24"/>
      <c r="D951" s="24"/>
      <c r="E951" s="25"/>
    </row>
    <row r="952">
      <c r="A952" s="24"/>
      <c r="B952" s="24"/>
      <c r="C952" s="24"/>
      <c r="D952" s="24"/>
      <c r="E952" s="25"/>
    </row>
    <row r="953">
      <c r="A953" s="24"/>
      <c r="B953" s="24"/>
      <c r="C953" s="24"/>
      <c r="D953" s="24"/>
      <c r="E953" s="25"/>
    </row>
    <row r="954">
      <c r="A954" s="24"/>
      <c r="B954" s="24"/>
      <c r="C954" s="24"/>
      <c r="D954" s="24"/>
      <c r="E954" s="25"/>
    </row>
    <row r="955">
      <c r="A955" s="24"/>
      <c r="B955" s="24"/>
      <c r="C955" s="24"/>
      <c r="D955" s="24"/>
      <c r="E955" s="25"/>
    </row>
    <row r="956">
      <c r="A956" s="24"/>
      <c r="B956" s="24"/>
      <c r="C956" s="24"/>
      <c r="D956" s="24"/>
      <c r="E956" s="25"/>
    </row>
    <row r="957">
      <c r="A957" s="24"/>
      <c r="B957" s="24"/>
      <c r="C957" s="24"/>
      <c r="D957" s="24"/>
      <c r="E957" s="25"/>
    </row>
    <row r="958">
      <c r="A958" s="24"/>
      <c r="B958" s="24"/>
      <c r="C958" s="24"/>
      <c r="D958" s="24"/>
      <c r="E958" s="25"/>
    </row>
    <row r="959">
      <c r="A959" s="24"/>
      <c r="B959" s="24"/>
      <c r="C959" s="24"/>
      <c r="D959" s="24"/>
      <c r="E959" s="25"/>
    </row>
    <row r="960">
      <c r="A960" s="24"/>
      <c r="B960" s="24"/>
      <c r="C960" s="24"/>
      <c r="D960" s="24"/>
      <c r="E960" s="25"/>
    </row>
    <row r="961">
      <c r="A961" s="24"/>
      <c r="B961" s="24"/>
      <c r="C961" s="24"/>
      <c r="D961" s="24"/>
      <c r="E961" s="25"/>
    </row>
    <row r="962">
      <c r="A962" s="24"/>
      <c r="B962" s="24"/>
      <c r="C962" s="24"/>
      <c r="D962" s="24"/>
      <c r="E962" s="25"/>
    </row>
    <row r="963">
      <c r="A963" s="24"/>
      <c r="B963" s="24"/>
      <c r="C963" s="24"/>
      <c r="D963" s="24"/>
      <c r="E963" s="25"/>
    </row>
    <row r="964">
      <c r="A964" s="24"/>
      <c r="B964" s="24"/>
      <c r="C964" s="24"/>
      <c r="D964" s="24"/>
      <c r="E964" s="25"/>
    </row>
    <row r="965">
      <c r="A965" s="24"/>
      <c r="B965" s="24"/>
      <c r="C965" s="24"/>
      <c r="D965" s="24"/>
      <c r="E965" s="25"/>
    </row>
    <row r="966">
      <c r="A966" s="24"/>
      <c r="B966" s="24"/>
      <c r="C966" s="24"/>
      <c r="D966" s="24"/>
      <c r="E966" s="25"/>
    </row>
    <row r="967">
      <c r="A967" s="24"/>
      <c r="B967" s="24"/>
      <c r="C967" s="24"/>
      <c r="D967" s="24"/>
      <c r="E967" s="25"/>
    </row>
    <row r="968">
      <c r="A968" s="24"/>
      <c r="B968" s="24"/>
      <c r="C968" s="24"/>
      <c r="D968" s="24"/>
      <c r="E968" s="25"/>
    </row>
    <row r="969">
      <c r="A969" s="24"/>
      <c r="B969" s="24"/>
      <c r="C969" s="24"/>
      <c r="D969" s="24"/>
      <c r="E969" s="25"/>
    </row>
    <row r="970">
      <c r="A970" s="24"/>
      <c r="B970" s="24"/>
      <c r="C970" s="24"/>
      <c r="D970" s="24"/>
      <c r="E970" s="25"/>
    </row>
    <row r="971">
      <c r="A971" s="24"/>
      <c r="B971" s="24"/>
      <c r="C971" s="24"/>
      <c r="D971" s="24"/>
      <c r="E971" s="25"/>
    </row>
    <row r="972">
      <c r="A972" s="24"/>
      <c r="B972" s="24"/>
      <c r="C972" s="24"/>
      <c r="D972" s="24"/>
      <c r="E972" s="25"/>
    </row>
    <row r="973">
      <c r="A973" s="24"/>
      <c r="B973" s="24"/>
      <c r="C973" s="24"/>
      <c r="D973" s="24"/>
      <c r="E973" s="25"/>
    </row>
    <row r="974">
      <c r="A974" s="24"/>
      <c r="B974" s="24"/>
      <c r="C974" s="24"/>
      <c r="D974" s="24"/>
      <c r="E974" s="25"/>
    </row>
    <row r="975">
      <c r="A975" s="24"/>
      <c r="B975" s="24"/>
      <c r="C975" s="24"/>
      <c r="D975" s="24"/>
      <c r="E975" s="25"/>
    </row>
    <row r="976">
      <c r="A976" s="24"/>
      <c r="B976" s="24"/>
      <c r="C976" s="24"/>
      <c r="D976" s="24"/>
      <c r="E976" s="25"/>
    </row>
    <row r="977">
      <c r="A977" s="24"/>
      <c r="B977" s="24"/>
      <c r="C977" s="24"/>
      <c r="D977" s="24"/>
      <c r="E977" s="25"/>
    </row>
    <row r="978">
      <c r="A978" s="24"/>
      <c r="B978" s="24"/>
      <c r="C978" s="24"/>
      <c r="D978" s="24"/>
      <c r="E978" s="25"/>
    </row>
    <row r="979">
      <c r="A979" s="24"/>
      <c r="B979" s="24"/>
      <c r="C979" s="24"/>
      <c r="D979" s="24"/>
      <c r="E979" s="25"/>
    </row>
    <row r="980">
      <c r="A980" s="24"/>
      <c r="B980" s="24"/>
      <c r="C980" s="24"/>
      <c r="D980" s="24"/>
      <c r="E980" s="25"/>
    </row>
    <row r="981">
      <c r="A981" s="24"/>
      <c r="B981" s="24"/>
      <c r="C981" s="24"/>
      <c r="D981" s="24"/>
      <c r="E981" s="25"/>
    </row>
    <row r="982">
      <c r="A982" s="24"/>
      <c r="B982" s="24"/>
      <c r="C982" s="24"/>
      <c r="D982" s="24"/>
      <c r="E982" s="25"/>
    </row>
    <row r="983">
      <c r="A983" s="24"/>
      <c r="B983" s="24"/>
      <c r="C983" s="24"/>
      <c r="D983" s="24"/>
      <c r="E983" s="25"/>
    </row>
    <row r="984">
      <c r="A984" s="24"/>
      <c r="B984" s="24"/>
      <c r="C984" s="24"/>
      <c r="D984" s="24"/>
      <c r="E984" s="25"/>
    </row>
    <row r="985">
      <c r="A985" s="24"/>
      <c r="B985" s="24"/>
      <c r="C985" s="24"/>
      <c r="D985" s="24"/>
      <c r="E985" s="25"/>
    </row>
    <row r="986">
      <c r="A986" s="24"/>
      <c r="B986" s="24"/>
      <c r="C986" s="24"/>
      <c r="D986" s="24"/>
      <c r="E986" s="25"/>
    </row>
    <row r="987">
      <c r="A987" s="24"/>
      <c r="B987" s="24"/>
      <c r="C987" s="24"/>
      <c r="D987" s="24"/>
      <c r="E987" s="25"/>
    </row>
    <row r="988">
      <c r="A988" s="24"/>
      <c r="B988" s="24"/>
      <c r="C988" s="24"/>
      <c r="D988" s="24"/>
      <c r="E988" s="25"/>
    </row>
    <row r="989">
      <c r="A989" s="24"/>
      <c r="B989" s="24"/>
      <c r="C989" s="24"/>
      <c r="D989" s="24"/>
      <c r="E989" s="25"/>
    </row>
    <row r="990">
      <c r="A990" s="24"/>
      <c r="B990" s="24"/>
      <c r="C990" s="24"/>
      <c r="D990" s="24"/>
      <c r="E990" s="25"/>
    </row>
    <row r="991">
      <c r="A991" s="24"/>
      <c r="B991" s="24"/>
      <c r="C991" s="24"/>
      <c r="D991" s="24"/>
      <c r="E991" s="25"/>
    </row>
    <row r="992">
      <c r="A992" s="24"/>
      <c r="B992" s="24"/>
      <c r="C992" s="24"/>
      <c r="D992" s="24"/>
      <c r="E992" s="25"/>
    </row>
    <row r="993">
      <c r="A993" s="24"/>
      <c r="B993" s="24"/>
      <c r="C993" s="24"/>
      <c r="D993" s="24"/>
      <c r="E993" s="25"/>
    </row>
    <row r="994">
      <c r="A994" s="24"/>
      <c r="B994" s="24"/>
      <c r="C994" s="24"/>
      <c r="D994" s="24"/>
      <c r="E994" s="25"/>
    </row>
    <row r="995">
      <c r="A995" s="24"/>
      <c r="B995" s="24"/>
      <c r="C995" s="24"/>
      <c r="D995" s="24"/>
      <c r="E995" s="25"/>
    </row>
    <row r="996">
      <c r="A996" s="24"/>
      <c r="B996" s="24"/>
      <c r="C996" s="24"/>
      <c r="D996" s="24"/>
      <c r="E996" s="25"/>
    </row>
    <row r="997">
      <c r="A997" s="24"/>
      <c r="B997" s="24"/>
      <c r="C997" s="24"/>
      <c r="D997" s="24"/>
      <c r="E997" s="25"/>
    </row>
    <row r="998">
      <c r="A998" s="24"/>
      <c r="B998" s="24"/>
      <c r="C998" s="24"/>
      <c r="D998" s="24"/>
      <c r="E998" s="25"/>
    </row>
    <row r="999">
      <c r="A999" s="24"/>
      <c r="B999" s="24"/>
      <c r="C999" s="24"/>
      <c r="D999" s="24"/>
      <c r="E999" s="25"/>
    </row>
    <row r="1000">
      <c r="A1000" s="24"/>
      <c r="B1000" s="24"/>
      <c r="C1000" s="24"/>
      <c r="D1000" s="24"/>
      <c r="E1000" s="25"/>
    </row>
    <row r="1001">
      <c r="A1001" s="24"/>
      <c r="B1001" s="24"/>
      <c r="C1001" s="24"/>
      <c r="D1001" s="24"/>
      <c r="E1001" s="25"/>
    </row>
    <row r="1002">
      <c r="A1002" s="24"/>
      <c r="B1002" s="24"/>
      <c r="C1002" s="24"/>
      <c r="D1002" s="24"/>
      <c r="E1002" s="25"/>
    </row>
    <row r="1003">
      <c r="A1003" s="24"/>
      <c r="B1003" s="24"/>
      <c r="C1003" s="24"/>
      <c r="D1003" s="24"/>
      <c r="E1003" s="25"/>
    </row>
    <row r="1004">
      <c r="A1004" s="24"/>
      <c r="B1004" s="24"/>
      <c r="C1004" s="24"/>
      <c r="D1004" s="24"/>
      <c r="E1004" s="25"/>
    </row>
    <row r="1005">
      <c r="A1005" s="24"/>
      <c r="B1005" s="24"/>
      <c r="C1005" s="24"/>
      <c r="D1005" s="24"/>
      <c r="E1005" s="25"/>
    </row>
    <row r="1006">
      <c r="A1006" s="24"/>
      <c r="B1006" s="24"/>
      <c r="C1006" s="24"/>
      <c r="D1006" s="24"/>
      <c r="E1006" s="25"/>
    </row>
    <row r="1007">
      <c r="A1007" s="24"/>
      <c r="B1007" s="24"/>
      <c r="C1007" s="24"/>
      <c r="D1007" s="24"/>
      <c r="E1007" s="25"/>
    </row>
    <row r="1008">
      <c r="A1008" s="24"/>
      <c r="B1008" s="24"/>
      <c r="C1008" s="24"/>
      <c r="D1008" s="24"/>
      <c r="E1008" s="25"/>
    </row>
    <row r="1009">
      <c r="A1009" s="24"/>
      <c r="B1009" s="24"/>
      <c r="C1009" s="24"/>
      <c r="D1009" s="24"/>
      <c r="E1009" s="25"/>
    </row>
    <row r="1010">
      <c r="A1010" s="24"/>
      <c r="B1010" s="24"/>
      <c r="C1010" s="24"/>
      <c r="D1010" s="24"/>
      <c r="E1010" s="25"/>
    </row>
    <row r="1011">
      <c r="A1011" s="24"/>
      <c r="B1011" s="24"/>
      <c r="C1011" s="24"/>
      <c r="D1011" s="24"/>
      <c r="E1011" s="25"/>
    </row>
    <row r="1012">
      <c r="A1012" s="24"/>
      <c r="B1012" s="24"/>
      <c r="C1012" s="24"/>
      <c r="D1012" s="24"/>
      <c r="E1012" s="25"/>
    </row>
    <row r="1013">
      <c r="A1013" s="24"/>
      <c r="B1013" s="24"/>
      <c r="C1013" s="24"/>
      <c r="D1013" s="24"/>
      <c r="E1013" s="25"/>
    </row>
    <row r="1014">
      <c r="A1014" s="24"/>
      <c r="B1014" s="24"/>
      <c r="C1014" s="24"/>
      <c r="D1014" s="24"/>
      <c r="E1014" s="25"/>
    </row>
    <row r="1015">
      <c r="A1015" s="24"/>
      <c r="B1015" s="24"/>
      <c r="C1015" s="24"/>
      <c r="D1015" s="24"/>
      <c r="E1015" s="25"/>
    </row>
    <row r="1016">
      <c r="A1016" s="24"/>
      <c r="B1016" s="24"/>
      <c r="C1016" s="24"/>
      <c r="D1016" s="24"/>
      <c r="E1016" s="25"/>
    </row>
    <row r="1017">
      <c r="A1017" s="24"/>
      <c r="B1017" s="24"/>
      <c r="C1017" s="24"/>
      <c r="D1017" s="24"/>
      <c r="E1017" s="25"/>
    </row>
    <row r="1018">
      <c r="A1018" s="24"/>
      <c r="B1018" s="24"/>
      <c r="C1018" s="24"/>
      <c r="D1018" s="24"/>
      <c r="E1018" s="25"/>
    </row>
    <row r="1019">
      <c r="A1019" s="24"/>
      <c r="B1019" s="24"/>
      <c r="C1019" s="24"/>
      <c r="D1019" s="24"/>
      <c r="E1019" s="25"/>
    </row>
    <row r="1020">
      <c r="A1020" s="24"/>
      <c r="B1020" s="24"/>
      <c r="C1020" s="24"/>
      <c r="D1020" s="24"/>
      <c r="E1020" s="25"/>
    </row>
    <row r="1021">
      <c r="A1021" s="24"/>
      <c r="B1021" s="24"/>
      <c r="C1021" s="24"/>
      <c r="D1021" s="24"/>
      <c r="E1021" s="25"/>
    </row>
    <row r="1022">
      <c r="A1022" s="24"/>
      <c r="B1022" s="24"/>
      <c r="C1022" s="24"/>
      <c r="D1022" s="24"/>
      <c r="E1022" s="25"/>
    </row>
    <row r="1023">
      <c r="A1023" s="24"/>
      <c r="B1023" s="24"/>
      <c r="C1023" s="24"/>
      <c r="D1023" s="24"/>
      <c r="E1023" s="25"/>
    </row>
    <row r="1024">
      <c r="A1024" s="24"/>
      <c r="B1024" s="24"/>
      <c r="C1024" s="24"/>
      <c r="D1024" s="24"/>
      <c r="E1024" s="25"/>
    </row>
    <row r="1025">
      <c r="A1025" s="24"/>
      <c r="B1025" s="24"/>
      <c r="C1025" s="24"/>
      <c r="D1025" s="24"/>
      <c r="E1025" s="25"/>
    </row>
    <row r="1026">
      <c r="A1026" s="24"/>
      <c r="B1026" s="24"/>
      <c r="C1026" s="24"/>
      <c r="D1026" s="24"/>
      <c r="E1026" s="25"/>
    </row>
    <row r="1027">
      <c r="A1027" s="24"/>
      <c r="B1027" s="24"/>
      <c r="C1027" s="24"/>
      <c r="D1027" s="24"/>
      <c r="E1027" s="25"/>
    </row>
    <row r="1028">
      <c r="A1028" s="24"/>
      <c r="B1028" s="24"/>
      <c r="C1028" s="24"/>
      <c r="D1028" s="24"/>
      <c r="E1028" s="25"/>
    </row>
    <row r="1029">
      <c r="A1029" s="24"/>
      <c r="B1029" s="24"/>
      <c r="C1029" s="24"/>
      <c r="D1029" s="24"/>
      <c r="E1029" s="25"/>
    </row>
    <row r="1030">
      <c r="A1030" s="24"/>
      <c r="B1030" s="24"/>
      <c r="C1030" s="24"/>
      <c r="D1030" s="24"/>
      <c r="E1030" s="25"/>
    </row>
    <row r="1031">
      <c r="A1031" s="24"/>
      <c r="B1031" s="24"/>
      <c r="C1031" s="24"/>
      <c r="D1031" s="24"/>
      <c r="E1031" s="25"/>
    </row>
    <row r="1032">
      <c r="A1032" s="24"/>
      <c r="B1032" s="24"/>
      <c r="C1032" s="24"/>
      <c r="D1032" s="24"/>
      <c r="E1032" s="25"/>
    </row>
    <row r="1033">
      <c r="A1033" s="24"/>
      <c r="B1033" s="24"/>
      <c r="C1033" s="24"/>
      <c r="D1033" s="24"/>
      <c r="E1033" s="25"/>
    </row>
    <row r="1034">
      <c r="A1034" s="24"/>
      <c r="B1034" s="24"/>
      <c r="C1034" s="24"/>
      <c r="D1034" s="24"/>
      <c r="E1034" s="25"/>
    </row>
    <row r="1035">
      <c r="A1035" s="24"/>
      <c r="B1035" s="24"/>
      <c r="C1035" s="24"/>
      <c r="D1035" s="24"/>
      <c r="E1035" s="25"/>
    </row>
    <row r="1036">
      <c r="A1036" s="24"/>
      <c r="B1036" s="24"/>
      <c r="C1036" s="24"/>
      <c r="D1036" s="24"/>
      <c r="E1036" s="25"/>
    </row>
    <row r="1037">
      <c r="A1037" s="24"/>
      <c r="B1037" s="24"/>
      <c r="C1037" s="24"/>
      <c r="D1037" s="24"/>
      <c r="E1037" s="25"/>
    </row>
    <row r="1038">
      <c r="A1038" s="24"/>
      <c r="B1038" s="24"/>
      <c r="C1038" s="24"/>
      <c r="D1038" s="24"/>
      <c r="E1038" s="25"/>
    </row>
    <row r="1039">
      <c r="A1039" s="24"/>
      <c r="B1039" s="24"/>
      <c r="C1039" s="24"/>
      <c r="D1039" s="24"/>
      <c r="E1039" s="25"/>
    </row>
    <row r="1040">
      <c r="A1040" s="24"/>
      <c r="B1040" s="24"/>
      <c r="C1040" s="24"/>
      <c r="D1040" s="24"/>
      <c r="E1040" s="25"/>
    </row>
    <row r="1041">
      <c r="A1041" s="24"/>
      <c r="B1041" s="24"/>
      <c r="C1041" s="24"/>
      <c r="D1041" s="24"/>
      <c r="E1041" s="25"/>
    </row>
    <row r="1042">
      <c r="A1042" s="24"/>
      <c r="B1042" s="24"/>
      <c r="C1042" s="24"/>
      <c r="D1042" s="24"/>
      <c r="E1042" s="25"/>
    </row>
    <row r="1043">
      <c r="A1043" s="24"/>
      <c r="B1043" s="24"/>
      <c r="C1043" s="24"/>
      <c r="D1043" s="24"/>
      <c r="E1043" s="25"/>
    </row>
    <row r="1044">
      <c r="A1044" s="24"/>
      <c r="B1044" s="24"/>
      <c r="C1044" s="24"/>
      <c r="D1044" s="24"/>
      <c r="E1044" s="25"/>
    </row>
    <row r="1045">
      <c r="A1045" s="24"/>
      <c r="B1045" s="24"/>
      <c r="C1045" s="24"/>
      <c r="D1045" s="24"/>
      <c r="E1045" s="25"/>
    </row>
    <row r="1046">
      <c r="A1046" s="24"/>
      <c r="B1046" s="24"/>
      <c r="C1046" s="24"/>
      <c r="D1046" s="24"/>
      <c r="E1046" s="25"/>
    </row>
    <row r="1047">
      <c r="A1047" s="24"/>
      <c r="B1047" s="24"/>
      <c r="C1047" s="24"/>
      <c r="D1047" s="24"/>
      <c r="E1047" s="25"/>
    </row>
    <row r="1048">
      <c r="A1048" s="24"/>
      <c r="B1048" s="24"/>
      <c r="C1048" s="24"/>
      <c r="D1048" s="24"/>
      <c r="E1048" s="25"/>
    </row>
    <row r="1049">
      <c r="A1049" s="24"/>
      <c r="B1049" s="24"/>
      <c r="C1049" s="24"/>
      <c r="D1049" s="24"/>
      <c r="E1049" s="25"/>
    </row>
    <row r="1050">
      <c r="A1050" s="24"/>
      <c r="B1050" s="24"/>
      <c r="C1050" s="24"/>
      <c r="D1050" s="24"/>
      <c r="E1050" s="25"/>
    </row>
    <row r="1051">
      <c r="A1051" s="24"/>
      <c r="B1051" s="24"/>
      <c r="C1051" s="24"/>
      <c r="D1051" s="24"/>
      <c r="E1051" s="25"/>
    </row>
    <row r="1052">
      <c r="A1052" s="24"/>
      <c r="B1052" s="24"/>
      <c r="C1052" s="24"/>
      <c r="D1052" s="24"/>
      <c r="E1052" s="25"/>
    </row>
    <row r="1053">
      <c r="A1053" s="24"/>
      <c r="B1053" s="24"/>
      <c r="C1053" s="24"/>
      <c r="D1053" s="24"/>
      <c r="E1053" s="25"/>
    </row>
    <row r="1054">
      <c r="A1054" s="24"/>
      <c r="B1054" s="24"/>
      <c r="C1054" s="24"/>
      <c r="D1054" s="24"/>
      <c r="E1054" s="25"/>
    </row>
    <row r="1055">
      <c r="A1055" s="24"/>
      <c r="B1055" s="24"/>
      <c r="C1055" s="24"/>
      <c r="D1055" s="24"/>
      <c r="E1055" s="25"/>
    </row>
    <row r="1056">
      <c r="A1056" s="24"/>
      <c r="B1056" s="24"/>
      <c r="C1056" s="24"/>
      <c r="D1056" s="24"/>
      <c r="E1056" s="25"/>
    </row>
    <row r="1057">
      <c r="A1057" s="24"/>
      <c r="B1057" s="24"/>
      <c r="C1057" s="24"/>
      <c r="D1057" s="24"/>
      <c r="E1057" s="25"/>
    </row>
    <row r="1058">
      <c r="A1058" s="24"/>
      <c r="B1058" s="24"/>
      <c r="C1058" s="24"/>
      <c r="D1058" s="24"/>
      <c r="E1058" s="25"/>
    </row>
    <row r="1059">
      <c r="A1059" s="24"/>
      <c r="B1059" s="24"/>
      <c r="C1059" s="24"/>
      <c r="D1059" s="24"/>
      <c r="E1059" s="25"/>
    </row>
    <row r="1060">
      <c r="A1060" s="24"/>
      <c r="B1060" s="24"/>
      <c r="C1060" s="24"/>
      <c r="D1060" s="24"/>
      <c r="E1060" s="25"/>
    </row>
    <row r="1061">
      <c r="A1061" s="24"/>
      <c r="B1061" s="24"/>
      <c r="C1061" s="24"/>
      <c r="D1061" s="24"/>
      <c r="E1061" s="25"/>
    </row>
    <row r="1062">
      <c r="A1062" s="24"/>
      <c r="B1062" s="24"/>
      <c r="C1062" s="24"/>
      <c r="D1062" s="24"/>
      <c r="E1062" s="25"/>
    </row>
    <row r="1063">
      <c r="A1063" s="24"/>
      <c r="B1063" s="24"/>
      <c r="C1063" s="24"/>
      <c r="D1063" s="24"/>
      <c r="E1063" s="25"/>
    </row>
    <row r="1064">
      <c r="A1064" s="24"/>
      <c r="B1064" s="24"/>
      <c r="C1064" s="24"/>
      <c r="D1064" s="24"/>
      <c r="E1064" s="25"/>
    </row>
    <row r="1065">
      <c r="A1065" s="24"/>
      <c r="B1065" s="24"/>
      <c r="C1065" s="24"/>
      <c r="D1065" s="24"/>
      <c r="E1065" s="25"/>
    </row>
    <row r="1066">
      <c r="A1066" s="24"/>
      <c r="B1066" s="24"/>
      <c r="C1066" s="24"/>
      <c r="D1066" s="24"/>
      <c r="E1066" s="25"/>
    </row>
    <row r="1067">
      <c r="A1067" s="24"/>
      <c r="B1067" s="24"/>
      <c r="C1067" s="24"/>
      <c r="D1067" s="24"/>
      <c r="E1067" s="25"/>
    </row>
    <row r="1068">
      <c r="A1068" s="24"/>
      <c r="B1068" s="24"/>
      <c r="C1068" s="24"/>
      <c r="D1068" s="24"/>
      <c r="E1068" s="25"/>
    </row>
    <row r="1069">
      <c r="A1069" s="24"/>
      <c r="B1069" s="24"/>
      <c r="C1069" s="24"/>
      <c r="D1069" s="24"/>
      <c r="E1069" s="25"/>
    </row>
    <row r="1070">
      <c r="A1070" s="24"/>
      <c r="B1070" s="24"/>
      <c r="C1070" s="24"/>
      <c r="D1070" s="24"/>
      <c r="E1070" s="25"/>
    </row>
    <row r="1071">
      <c r="A1071" s="24"/>
      <c r="B1071" s="24"/>
      <c r="C1071" s="24"/>
      <c r="D1071" s="24"/>
      <c r="E1071" s="25"/>
    </row>
    <row r="1072">
      <c r="A1072" s="24"/>
      <c r="B1072" s="24"/>
      <c r="C1072" s="24"/>
      <c r="D1072" s="24"/>
      <c r="E1072" s="25"/>
    </row>
    <row r="1073">
      <c r="A1073" s="24"/>
      <c r="B1073" s="24"/>
      <c r="C1073" s="24"/>
      <c r="D1073" s="24"/>
      <c r="E1073" s="25"/>
    </row>
    <row r="1074">
      <c r="A1074" s="24"/>
      <c r="B1074" s="24"/>
      <c r="C1074" s="24"/>
      <c r="D1074" s="24"/>
      <c r="E1074" s="25"/>
    </row>
    <row r="1075">
      <c r="A1075" s="24"/>
      <c r="B1075" s="24"/>
      <c r="C1075" s="24"/>
      <c r="D1075" s="24"/>
      <c r="E1075" s="25"/>
    </row>
    <row r="1076">
      <c r="A1076" s="24"/>
      <c r="B1076" s="24"/>
      <c r="C1076" s="24"/>
      <c r="D1076" s="24"/>
      <c r="E1076" s="25"/>
    </row>
    <row r="1077">
      <c r="A1077" s="24"/>
      <c r="B1077" s="24"/>
      <c r="C1077" s="24"/>
      <c r="D1077" s="24"/>
      <c r="E1077" s="25"/>
    </row>
    <row r="1078">
      <c r="A1078" s="24"/>
      <c r="B1078" s="24"/>
      <c r="C1078" s="24"/>
      <c r="D1078" s="24"/>
      <c r="E1078" s="25"/>
    </row>
    <row r="1079">
      <c r="A1079" s="24"/>
      <c r="B1079" s="24"/>
      <c r="C1079" s="24"/>
      <c r="D1079" s="24"/>
      <c r="E1079" s="25"/>
    </row>
    <row r="1080">
      <c r="A1080" s="24"/>
      <c r="B1080" s="24"/>
      <c r="C1080" s="24"/>
      <c r="D1080" s="24"/>
      <c r="E1080" s="25"/>
    </row>
    <row r="1081">
      <c r="A1081" s="24"/>
      <c r="B1081" s="24"/>
      <c r="C1081" s="24"/>
      <c r="D1081" s="24"/>
      <c r="E1081" s="25"/>
    </row>
    <row r="1082">
      <c r="A1082" s="24"/>
      <c r="B1082" s="24"/>
      <c r="C1082" s="24"/>
      <c r="D1082" s="24"/>
      <c r="E1082" s="25"/>
    </row>
    <row r="1083">
      <c r="A1083" s="24"/>
      <c r="B1083" s="24"/>
      <c r="C1083" s="24"/>
      <c r="D1083" s="24"/>
      <c r="E1083" s="25"/>
    </row>
    <row r="1084">
      <c r="A1084" s="24"/>
      <c r="B1084" s="24"/>
      <c r="C1084" s="24"/>
      <c r="D1084" s="24"/>
      <c r="E1084" s="25"/>
    </row>
    <row r="1085">
      <c r="A1085" s="24"/>
      <c r="B1085" s="24"/>
      <c r="C1085" s="24"/>
      <c r="D1085" s="24"/>
      <c r="E1085" s="25"/>
    </row>
    <row r="1086">
      <c r="A1086" s="24"/>
      <c r="B1086" s="24"/>
      <c r="C1086" s="24"/>
      <c r="D1086" s="24"/>
      <c r="E1086" s="25"/>
    </row>
    <row r="1087">
      <c r="A1087" s="24"/>
      <c r="B1087" s="24"/>
      <c r="C1087" s="24"/>
      <c r="D1087" s="24"/>
      <c r="E1087" s="25"/>
    </row>
    <row r="1088">
      <c r="A1088" s="24"/>
      <c r="B1088" s="24"/>
      <c r="C1088" s="24"/>
      <c r="D1088" s="24"/>
      <c r="E1088" s="25"/>
    </row>
    <row r="1089">
      <c r="A1089" s="24"/>
      <c r="B1089" s="24"/>
      <c r="C1089" s="24"/>
      <c r="D1089" s="24"/>
      <c r="E1089" s="25"/>
    </row>
    <row r="1090">
      <c r="A1090" s="24"/>
      <c r="B1090" s="24"/>
      <c r="C1090" s="24"/>
      <c r="D1090" s="24"/>
      <c r="E1090" s="25"/>
    </row>
    <row r="1091">
      <c r="A1091" s="24"/>
      <c r="B1091" s="24"/>
      <c r="C1091" s="24"/>
      <c r="D1091" s="24"/>
      <c r="E1091" s="25"/>
    </row>
    <row r="1092">
      <c r="A1092" s="24"/>
      <c r="B1092" s="24"/>
      <c r="C1092" s="24"/>
      <c r="D1092" s="24"/>
      <c r="E1092" s="25"/>
    </row>
    <row r="1093">
      <c r="A1093" s="24"/>
      <c r="B1093" s="24"/>
      <c r="C1093" s="24"/>
      <c r="D1093" s="24"/>
      <c r="E1093" s="25"/>
    </row>
    <row r="1094">
      <c r="A1094" s="24"/>
      <c r="B1094" s="24"/>
      <c r="C1094" s="24"/>
      <c r="D1094" s="24"/>
      <c r="E1094" s="25"/>
    </row>
    <row r="1095">
      <c r="A1095" s="24"/>
      <c r="B1095" s="24"/>
      <c r="C1095" s="24"/>
      <c r="D1095" s="24"/>
      <c r="E1095" s="25"/>
    </row>
    <row r="1096">
      <c r="A1096" s="24"/>
      <c r="B1096" s="24"/>
      <c r="C1096" s="24"/>
      <c r="D1096" s="24"/>
      <c r="E1096" s="25"/>
    </row>
    <row r="1097">
      <c r="A1097" s="24"/>
      <c r="B1097" s="24"/>
      <c r="C1097" s="24"/>
      <c r="D1097" s="24"/>
      <c r="E1097" s="25"/>
    </row>
    <row r="1098">
      <c r="A1098" s="24"/>
      <c r="B1098" s="24"/>
      <c r="C1098" s="24"/>
      <c r="D1098" s="24"/>
      <c r="E1098" s="25"/>
    </row>
    <row r="1099">
      <c r="A1099" s="24"/>
      <c r="B1099" s="24"/>
      <c r="C1099" s="24"/>
      <c r="D1099" s="24"/>
      <c r="E1099" s="25"/>
    </row>
    <row r="1100">
      <c r="A1100" s="24"/>
      <c r="B1100" s="24"/>
      <c r="C1100" s="24"/>
      <c r="D1100" s="24"/>
      <c r="E1100" s="25"/>
    </row>
    <row r="1101">
      <c r="A1101" s="24"/>
      <c r="B1101" s="24"/>
      <c r="C1101" s="24"/>
      <c r="D1101" s="24"/>
      <c r="E1101" s="25"/>
    </row>
    <row r="1102">
      <c r="A1102" s="24"/>
      <c r="B1102" s="24"/>
      <c r="C1102" s="24"/>
      <c r="D1102" s="24"/>
      <c r="E1102" s="25"/>
    </row>
    <row r="1103">
      <c r="A1103" s="24"/>
      <c r="B1103" s="24"/>
      <c r="C1103" s="24"/>
      <c r="D1103" s="24"/>
      <c r="E1103" s="25"/>
    </row>
    <row r="1104">
      <c r="A1104" s="24"/>
      <c r="B1104" s="24"/>
      <c r="C1104" s="24"/>
      <c r="D1104" s="24"/>
      <c r="E1104" s="25"/>
    </row>
    <row r="1105">
      <c r="A1105" s="24"/>
      <c r="B1105" s="24"/>
      <c r="C1105" s="24"/>
      <c r="D1105" s="24"/>
      <c r="E1105" s="25"/>
    </row>
    <row r="1106">
      <c r="A1106" s="24"/>
      <c r="B1106" s="24"/>
      <c r="C1106" s="24"/>
      <c r="D1106" s="24"/>
      <c r="E1106" s="25"/>
    </row>
    <row r="1107">
      <c r="A1107" s="24"/>
      <c r="B1107" s="24"/>
      <c r="C1107" s="24"/>
      <c r="D1107" s="24"/>
      <c r="E1107" s="25"/>
    </row>
    <row r="1108">
      <c r="A1108" s="24"/>
      <c r="B1108" s="24"/>
      <c r="C1108" s="24"/>
      <c r="D1108" s="24"/>
      <c r="E1108" s="25"/>
    </row>
    <row r="1109">
      <c r="A1109" s="24"/>
      <c r="B1109" s="24"/>
      <c r="C1109" s="24"/>
      <c r="D1109" s="24"/>
      <c r="E1109" s="25"/>
    </row>
    <row r="1110">
      <c r="A1110" s="24"/>
      <c r="B1110" s="24"/>
      <c r="C1110" s="24"/>
      <c r="D1110" s="24"/>
      <c r="E1110" s="25"/>
    </row>
    <row r="1111">
      <c r="A1111" s="24"/>
      <c r="B1111" s="24"/>
      <c r="C1111" s="24"/>
      <c r="D1111" s="24"/>
      <c r="E1111" s="25"/>
    </row>
    <row r="1112">
      <c r="A1112" s="24"/>
      <c r="B1112" s="24"/>
      <c r="C1112" s="24"/>
      <c r="D1112" s="24"/>
      <c r="E1112" s="25"/>
    </row>
    <row r="1113">
      <c r="A1113" s="24"/>
      <c r="B1113" s="24"/>
      <c r="C1113" s="24"/>
      <c r="D1113" s="24"/>
      <c r="E1113" s="25"/>
    </row>
    <row r="1114">
      <c r="A1114" s="24"/>
      <c r="B1114" s="24"/>
      <c r="C1114" s="24"/>
      <c r="D1114" s="24"/>
      <c r="E1114" s="25"/>
    </row>
    <row r="1115">
      <c r="A1115" s="24"/>
      <c r="B1115" s="24"/>
      <c r="C1115" s="24"/>
      <c r="D1115" s="24"/>
      <c r="E1115" s="25"/>
    </row>
    <row r="1116">
      <c r="A1116" s="24"/>
      <c r="B1116" s="24"/>
      <c r="C1116" s="24"/>
      <c r="D1116" s="24"/>
      <c r="E1116" s="25"/>
    </row>
    <row r="1117">
      <c r="A1117" s="24"/>
      <c r="B1117" s="24"/>
      <c r="C1117" s="24"/>
      <c r="D1117" s="24"/>
      <c r="E1117" s="25"/>
    </row>
    <row r="1118">
      <c r="A1118" s="24"/>
      <c r="B1118" s="24"/>
      <c r="C1118" s="24"/>
      <c r="D1118" s="24"/>
      <c r="E1118" s="25"/>
    </row>
    <row r="1119">
      <c r="A1119" s="24"/>
      <c r="B1119" s="24"/>
      <c r="C1119" s="24"/>
      <c r="D1119" s="24"/>
      <c r="E1119" s="25"/>
    </row>
    <row r="1120">
      <c r="A1120" s="24"/>
      <c r="B1120" s="24"/>
      <c r="C1120" s="24"/>
      <c r="D1120" s="24"/>
      <c r="E1120" s="25"/>
    </row>
    <row r="1121">
      <c r="A1121" s="24"/>
      <c r="B1121" s="24"/>
      <c r="C1121" s="24"/>
      <c r="D1121" s="24"/>
      <c r="E1121" s="25"/>
    </row>
    <row r="1122">
      <c r="A1122" s="24"/>
      <c r="B1122" s="24"/>
      <c r="C1122" s="24"/>
      <c r="D1122" s="24"/>
      <c r="E1122" s="25"/>
    </row>
    <row r="1123">
      <c r="A1123" s="24"/>
      <c r="B1123" s="24"/>
      <c r="C1123" s="24"/>
      <c r="D1123" s="24"/>
      <c r="E1123" s="25"/>
    </row>
    <row r="1124">
      <c r="A1124" s="24"/>
      <c r="B1124" s="24"/>
      <c r="C1124" s="24"/>
      <c r="D1124" s="24"/>
      <c r="E1124" s="25"/>
    </row>
    <row r="1125">
      <c r="A1125" s="24"/>
      <c r="B1125" s="24"/>
      <c r="C1125" s="24"/>
      <c r="D1125" s="24"/>
      <c r="E1125" s="25"/>
    </row>
    <row r="1126">
      <c r="A1126" s="24"/>
      <c r="B1126" s="24"/>
      <c r="C1126" s="24"/>
      <c r="D1126" s="24"/>
      <c r="E1126" s="25"/>
    </row>
    <row r="1127">
      <c r="A1127" s="24"/>
      <c r="B1127" s="24"/>
      <c r="C1127" s="24"/>
      <c r="D1127" s="24"/>
      <c r="E1127" s="25"/>
    </row>
    <row r="1128">
      <c r="A1128" s="24"/>
      <c r="B1128" s="24"/>
      <c r="C1128" s="24"/>
      <c r="D1128" s="24"/>
      <c r="E1128" s="25"/>
    </row>
    <row r="1129">
      <c r="A1129" s="24"/>
      <c r="B1129" s="24"/>
      <c r="C1129" s="24"/>
      <c r="D1129" s="24"/>
      <c r="E1129" s="25"/>
    </row>
    <row r="1130">
      <c r="A1130" s="24"/>
      <c r="B1130" s="24"/>
      <c r="C1130" s="24"/>
      <c r="D1130" s="24"/>
      <c r="E1130" s="25"/>
    </row>
    <row r="1131">
      <c r="A1131" s="24"/>
      <c r="B1131" s="24"/>
      <c r="C1131" s="24"/>
      <c r="D1131" s="24"/>
      <c r="E1131" s="25"/>
    </row>
    <row r="1132">
      <c r="A1132" s="24"/>
      <c r="B1132" s="24"/>
      <c r="C1132" s="24"/>
      <c r="D1132" s="24"/>
      <c r="E1132" s="25"/>
    </row>
    <row r="1133">
      <c r="A1133" s="24"/>
      <c r="B1133" s="24"/>
      <c r="C1133" s="24"/>
      <c r="D1133" s="24"/>
      <c r="E1133" s="25"/>
    </row>
    <row r="1134">
      <c r="A1134" s="24"/>
      <c r="B1134" s="24"/>
      <c r="C1134" s="24"/>
      <c r="D1134" s="24"/>
      <c r="E1134" s="25"/>
    </row>
    <row r="1135">
      <c r="A1135" s="24"/>
      <c r="B1135" s="24"/>
      <c r="C1135" s="24"/>
      <c r="D1135" s="24"/>
      <c r="E1135" s="25"/>
    </row>
    <row r="1136">
      <c r="A1136" s="24"/>
      <c r="B1136" s="24"/>
      <c r="C1136" s="24"/>
      <c r="D1136" s="24"/>
      <c r="E1136" s="25"/>
    </row>
    <row r="1137">
      <c r="A1137" s="24"/>
      <c r="B1137" s="24"/>
      <c r="C1137" s="24"/>
      <c r="D1137" s="24"/>
      <c r="E1137" s="25"/>
    </row>
    <row r="1138">
      <c r="A1138" s="24"/>
      <c r="B1138" s="24"/>
      <c r="C1138" s="24"/>
      <c r="D1138" s="24"/>
      <c r="E1138" s="25"/>
    </row>
    <row r="1139">
      <c r="A1139" s="24"/>
      <c r="B1139" s="24"/>
      <c r="C1139" s="24"/>
      <c r="D1139" s="24"/>
      <c r="E1139" s="25"/>
    </row>
    <row r="1140">
      <c r="A1140" s="24"/>
      <c r="B1140" s="24"/>
      <c r="C1140" s="24"/>
      <c r="D1140" s="24"/>
      <c r="E1140" s="25"/>
    </row>
    <row r="1141">
      <c r="A1141" s="24"/>
      <c r="B1141" s="24"/>
      <c r="C1141" s="24"/>
      <c r="D1141" s="24"/>
      <c r="E1141" s="25"/>
    </row>
    <row r="1142">
      <c r="A1142" s="24"/>
      <c r="B1142" s="24"/>
      <c r="C1142" s="24"/>
      <c r="D1142" s="24"/>
      <c r="E1142" s="25"/>
    </row>
    <row r="1143">
      <c r="A1143" s="24"/>
      <c r="B1143" s="24"/>
      <c r="C1143" s="24"/>
      <c r="D1143" s="24"/>
      <c r="E1143" s="25"/>
    </row>
    <row r="1144">
      <c r="A1144" s="24"/>
      <c r="B1144" s="24"/>
      <c r="C1144" s="24"/>
      <c r="D1144" s="24"/>
      <c r="E1144" s="25"/>
    </row>
    <row r="1145">
      <c r="A1145" s="24"/>
      <c r="B1145" s="24"/>
      <c r="C1145" s="24"/>
      <c r="D1145" s="24"/>
      <c r="E1145" s="25"/>
    </row>
    <row r="1146">
      <c r="A1146" s="24"/>
      <c r="B1146" s="24"/>
      <c r="C1146" s="24"/>
      <c r="D1146" s="24"/>
      <c r="E1146" s="25"/>
    </row>
    <row r="1147">
      <c r="A1147" s="24"/>
      <c r="B1147" s="24"/>
      <c r="C1147" s="24"/>
      <c r="D1147" s="24"/>
      <c r="E1147" s="25"/>
    </row>
    <row r="1148">
      <c r="A1148" s="24"/>
      <c r="B1148" s="24"/>
      <c r="C1148" s="24"/>
      <c r="D1148" s="24"/>
      <c r="E1148" s="25"/>
    </row>
    <row r="1149">
      <c r="A1149" s="24"/>
      <c r="B1149" s="24"/>
      <c r="C1149" s="24"/>
      <c r="D1149" s="24"/>
      <c r="E1149" s="25"/>
    </row>
    <row r="1150">
      <c r="A1150" s="24"/>
      <c r="B1150" s="24"/>
      <c r="C1150" s="24"/>
      <c r="D1150" s="24"/>
      <c r="E1150" s="25"/>
    </row>
    <row r="1151">
      <c r="A1151" s="24"/>
      <c r="B1151" s="24"/>
      <c r="C1151" s="24"/>
      <c r="D1151" s="24"/>
      <c r="E1151" s="25"/>
    </row>
    <row r="1152">
      <c r="A1152" s="24"/>
      <c r="B1152" s="24"/>
      <c r="C1152" s="24"/>
      <c r="D1152" s="24"/>
      <c r="E1152" s="25"/>
    </row>
    <row r="1153">
      <c r="A1153" s="24"/>
      <c r="B1153" s="24"/>
      <c r="C1153" s="24"/>
      <c r="D1153" s="24"/>
      <c r="E1153" s="25"/>
    </row>
    <row r="1154">
      <c r="A1154" s="24"/>
      <c r="B1154" s="24"/>
      <c r="C1154" s="24"/>
      <c r="D1154" s="24"/>
      <c r="E1154" s="25"/>
    </row>
    <row r="1155">
      <c r="A1155" s="24"/>
      <c r="B1155" s="24"/>
      <c r="C1155" s="24"/>
      <c r="D1155" s="24"/>
      <c r="E1155" s="25"/>
    </row>
    <row r="1156">
      <c r="A1156" s="24"/>
      <c r="B1156" s="24"/>
      <c r="C1156" s="24"/>
      <c r="D1156" s="24"/>
      <c r="E1156" s="25"/>
    </row>
    <row r="1157">
      <c r="A1157" s="24"/>
      <c r="B1157" s="24"/>
      <c r="C1157" s="24"/>
      <c r="D1157" s="24"/>
      <c r="E1157" s="25"/>
    </row>
    <row r="1158">
      <c r="A1158" s="24"/>
      <c r="B1158" s="24"/>
      <c r="C1158" s="24"/>
      <c r="D1158" s="24"/>
      <c r="E1158" s="25"/>
    </row>
    <row r="1159">
      <c r="A1159" s="24"/>
      <c r="B1159" s="24"/>
      <c r="C1159" s="24"/>
      <c r="D1159" s="24"/>
      <c r="E1159" s="25"/>
    </row>
    <row r="1160">
      <c r="A1160" s="24"/>
      <c r="B1160" s="24"/>
      <c r="C1160" s="24"/>
      <c r="D1160" s="24"/>
      <c r="E1160" s="25"/>
    </row>
    <row r="1161">
      <c r="A1161" s="24"/>
      <c r="B1161" s="24"/>
      <c r="C1161" s="24"/>
      <c r="D1161" s="24"/>
      <c r="E1161" s="25"/>
    </row>
    <row r="1162">
      <c r="A1162" s="24"/>
      <c r="B1162" s="24"/>
      <c r="C1162" s="24"/>
      <c r="D1162" s="24"/>
      <c r="E1162" s="25"/>
    </row>
    <row r="1163">
      <c r="A1163" s="24"/>
      <c r="B1163" s="24"/>
      <c r="C1163" s="24"/>
      <c r="D1163" s="24"/>
      <c r="E1163" s="25"/>
    </row>
    <row r="1164">
      <c r="A1164" s="24"/>
      <c r="B1164" s="24"/>
      <c r="C1164" s="24"/>
      <c r="D1164" s="24"/>
      <c r="E1164" s="25"/>
    </row>
    <row r="1165">
      <c r="A1165" s="24"/>
      <c r="B1165" s="24"/>
      <c r="C1165" s="24"/>
      <c r="D1165" s="24"/>
      <c r="E1165" s="25"/>
    </row>
    <row r="1166">
      <c r="A1166" s="24"/>
      <c r="B1166" s="24"/>
      <c r="C1166" s="24"/>
      <c r="D1166" s="24"/>
      <c r="E1166" s="25"/>
    </row>
    <row r="1167">
      <c r="A1167" s="24"/>
      <c r="B1167" s="24"/>
      <c r="C1167" s="24"/>
      <c r="D1167" s="24"/>
      <c r="E1167" s="25"/>
    </row>
    <row r="1168">
      <c r="A1168" s="24"/>
      <c r="B1168" s="24"/>
      <c r="C1168" s="24"/>
      <c r="D1168" s="24"/>
      <c r="E1168" s="25"/>
    </row>
    <row r="1169">
      <c r="A1169" s="24"/>
      <c r="B1169" s="24"/>
      <c r="C1169" s="24"/>
      <c r="D1169" s="24"/>
      <c r="E1169" s="25"/>
    </row>
    <row r="1170">
      <c r="A1170" s="24"/>
      <c r="B1170" s="24"/>
      <c r="C1170" s="24"/>
      <c r="D1170" s="24"/>
      <c r="E1170" s="25"/>
    </row>
    <row r="1171">
      <c r="A1171" s="24"/>
      <c r="B1171" s="24"/>
      <c r="C1171" s="24"/>
      <c r="D1171" s="24"/>
      <c r="E1171" s="25"/>
    </row>
    <row r="1172">
      <c r="A1172" s="24"/>
      <c r="B1172" s="24"/>
      <c r="C1172" s="24"/>
      <c r="D1172" s="24"/>
      <c r="E1172" s="25"/>
    </row>
    <row r="1173">
      <c r="A1173" s="24"/>
      <c r="B1173" s="24"/>
      <c r="C1173" s="24"/>
      <c r="D1173" s="24"/>
      <c r="E1173" s="25"/>
    </row>
    <row r="1174">
      <c r="A1174" s="24"/>
      <c r="B1174" s="24"/>
      <c r="C1174" s="24"/>
      <c r="D1174" s="24"/>
      <c r="E1174" s="25"/>
    </row>
    <row r="1175">
      <c r="A1175" s="24"/>
      <c r="B1175" s="24"/>
      <c r="C1175" s="24"/>
      <c r="D1175" s="24"/>
      <c r="E1175" s="25"/>
    </row>
    <row r="1176">
      <c r="A1176" s="24"/>
      <c r="B1176" s="24"/>
      <c r="C1176" s="24"/>
      <c r="D1176" s="24"/>
      <c r="E1176" s="25"/>
    </row>
    <row r="1177">
      <c r="A1177" s="24"/>
      <c r="B1177" s="24"/>
      <c r="C1177" s="24"/>
      <c r="D1177" s="24"/>
      <c r="E1177" s="25"/>
    </row>
    <row r="1178">
      <c r="A1178" s="24"/>
      <c r="B1178" s="24"/>
      <c r="C1178" s="24"/>
      <c r="D1178" s="24"/>
      <c r="E1178" s="25"/>
    </row>
    <row r="1179">
      <c r="A1179" s="24"/>
      <c r="B1179" s="24"/>
      <c r="C1179" s="24"/>
      <c r="D1179" s="24"/>
      <c r="E1179" s="25"/>
    </row>
    <row r="1180">
      <c r="A1180" s="24"/>
      <c r="B1180" s="24"/>
      <c r="C1180" s="24"/>
      <c r="D1180" s="24"/>
      <c r="E1180" s="25"/>
    </row>
    <row r="1181">
      <c r="A1181" s="24"/>
      <c r="B1181" s="24"/>
      <c r="C1181" s="24"/>
      <c r="D1181" s="24"/>
      <c r="E1181" s="25"/>
    </row>
    <row r="1182">
      <c r="A1182" s="24"/>
      <c r="B1182" s="24"/>
      <c r="C1182" s="24"/>
      <c r="D1182" s="24"/>
      <c r="E1182" s="25"/>
    </row>
    <row r="1183">
      <c r="A1183" s="24"/>
      <c r="B1183" s="24"/>
      <c r="C1183" s="24"/>
      <c r="D1183" s="24"/>
      <c r="E1183" s="25"/>
    </row>
    <row r="1184">
      <c r="A1184" s="24"/>
      <c r="B1184" s="24"/>
      <c r="C1184" s="24"/>
      <c r="D1184" s="24"/>
      <c r="E1184" s="25"/>
    </row>
    <row r="1185">
      <c r="A1185" s="24"/>
      <c r="B1185" s="24"/>
      <c r="C1185" s="24"/>
      <c r="D1185" s="24"/>
      <c r="E1185" s="25"/>
    </row>
    <row r="1186">
      <c r="A1186" s="24"/>
      <c r="B1186" s="24"/>
      <c r="C1186" s="24"/>
      <c r="D1186" s="24"/>
      <c r="E1186" s="25"/>
    </row>
    <row r="1187">
      <c r="A1187" s="24"/>
      <c r="B1187" s="24"/>
      <c r="C1187" s="24"/>
      <c r="D1187" s="24"/>
      <c r="E1187" s="25"/>
    </row>
    <row r="1188">
      <c r="A1188" s="24"/>
      <c r="B1188" s="24"/>
      <c r="C1188" s="24"/>
      <c r="D1188" s="24"/>
      <c r="E1188" s="25"/>
    </row>
    <row r="1189">
      <c r="A1189" s="24"/>
      <c r="B1189" s="24"/>
      <c r="C1189" s="24"/>
      <c r="D1189" s="24"/>
      <c r="E1189" s="25"/>
    </row>
    <row r="1190">
      <c r="A1190" s="24"/>
      <c r="B1190" s="24"/>
      <c r="C1190" s="24"/>
      <c r="D1190" s="24"/>
      <c r="E1190" s="25"/>
    </row>
    <row r="1191">
      <c r="A1191" s="24"/>
      <c r="B1191" s="24"/>
      <c r="C1191" s="24"/>
      <c r="D1191" s="24"/>
      <c r="E1191" s="25"/>
    </row>
    <row r="1192">
      <c r="A1192" s="24"/>
      <c r="B1192" s="24"/>
      <c r="C1192" s="24"/>
      <c r="D1192" s="24"/>
      <c r="E1192" s="25"/>
    </row>
    <row r="1193">
      <c r="A1193" s="24"/>
      <c r="B1193" s="24"/>
      <c r="C1193" s="24"/>
      <c r="D1193" s="24"/>
      <c r="E1193" s="25"/>
    </row>
    <row r="1194">
      <c r="A1194" s="24"/>
      <c r="B1194" s="24"/>
      <c r="C1194" s="24"/>
      <c r="D1194" s="24"/>
      <c r="E1194" s="25"/>
    </row>
    <row r="1195">
      <c r="A1195" s="24"/>
      <c r="B1195" s="24"/>
      <c r="C1195" s="24"/>
      <c r="D1195" s="24"/>
      <c r="E1195" s="25"/>
    </row>
    <row r="1196">
      <c r="A1196" s="24"/>
      <c r="B1196" s="24"/>
      <c r="C1196" s="24"/>
      <c r="D1196" s="24"/>
      <c r="E1196" s="25"/>
    </row>
    <row r="1197">
      <c r="A1197" s="24"/>
      <c r="B1197" s="24"/>
      <c r="C1197" s="24"/>
      <c r="D1197" s="24"/>
      <c r="E1197" s="25"/>
    </row>
    <row r="1198">
      <c r="A1198" s="24"/>
      <c r="B1198" s="24"/>
      <c r="C1198" s="24"/>
      <c r="D1198" s="24"/>
      <c r="E1198" s="25"/>
    </row>
    <row r="1199">
      <c r="A1199" s="24"/>
      <c r="B1199" s="24"/>
      <c r="C1199" s="24"/>
      <c r="D1199" s="24"/>
      <c r="E1199" s="25"/>
    </row>
    <row r="1200">
      <c r="A1200" s="24"/>
      <c r="B1200" s="24"/>
      <c r="C1200" s="24"/>
      <c r="D1200" s="24"/>
      <c r="E1200" s="25"/>
    </row>
    <row r="1201">
      <c r="A1201" s="24"/>
      <c r="B1201" s="24"/>
      <c r="C1201" s="24"/>
      <c r="D1201" s="24"/>
      <c r="E1201" s="25"/>
    </row>
    <row r="1202">
      <c r="A1202" s="24"/>
      <c r="B1202" s="24"/>
      <c r="C1202" s="24"/>
      <c r="D1202" s="24"/>
      <c r="E1202" s="25"/>
    </row>
    <row r="1203">
      <c r="A1203" s="24"/>
      <c r="B1203" s="24"/>
      <c r="C1203" s="24"/>
      <c r="D1203" s="24"/>
      <c r="E1203" s="25"/>
    </row>
    <row r="1204">
      <c r="A1204" s="24"/>
      <c r="B1204" s="24"/>
      <c r="C1204" s="24"/>
      <c r="D1204" s="24"/>
      <c r="E1204" s="25"/>
    </row>
    <row r="1205">
      <c r="A1205" s="24"/>
      <c r="B1205" s="24"/>
      <c r="C1205" s="24"/>
      <c r="D1205" s="24"/>
      <c r="E1205" s="25"/>
    </row>
    <row r="1206">
      <c r="A1206" s="24"/>
      <c r="B1206" s="24"/>
      <c r="C1206" s="24"/>
      <c r="D1206" s="24"/>
      <c r="E1206" s="25"/>
    </row>
    <row r="1207">
      <c r="A1207" s="24"/>
      <c r="B1207" s="24"/>
      <c r="C1207" s="24"/>
      <c r="D1207" s="24"/>
      <c r="E1207" s="25"/>
    </row>
    <row r="1208">
      <c r="A1208" s="24"/>
      <c r="B1208" s="24"/>
      <c r="C1208" s="24"/>
      <c r="D1208" s="24"/>
      <c r="E1208" s="25"/>
    </row>
    <row r="1209">
      <c r="A1209" s="24"/>
      <c r="B1209" s="24"/>
      <c r="C1209" s="24"/>
      <c r="D1209" s="24"/>
      <c r="E1209" s="25"/>
    </row>
    <row r="1210">
      <c r="A1210" s="24"/>
      <c r="B1210" s="24"/>
      <c r="C1210" s="24"/>
      <c r="D1210" s="24"/>
      <c r="E1210" s="25"/>
    </row>
    <row r="1211">
      <c r="A1211" s="24"/>
      <c r="B1211" s="24"/>
      <c r="C1211" s="24"/>
      <c r="D1211" s="24"/>
      <c r="E1211" s="25"/>
    </row>
    <row r="1212">
      <c r="A1212" s="24"/>
      <c r="B1212" s="24"/>
      <c r="C1212" s="24"/>
      <c r="D1212" s="24"/>
      <c r="E1212" s="25"/>
    </row>
    <row r="1213">
      <c r="A1213" s="24"/>
      <c r="B1213" s="24"/>
      <c r="C1213" s="24"/>
      <c r="D1213" s="24"/>
      <c r="E1213" s="25"/>
    </row>
    <row r="1214">
      <c r="A1214" s="24"/>
      <c r="B1214" s="24"/>
      <c r="C1214" s="24"/>
      <c r="D1214" s="24"/>
      <c r="E1214" s="25"/>
    </row>
    <row r="1215">
      <c r="A1215" s="24"/>
      <c r="B1215" s="24"/>
      <c r="C1215" s="24"/>
      <c r="D1215" s="24"/>
      <c r="E1215" s="25"/>
    </row>
    <row r="1216">
      <c r="A1216" s="24"/>
      <c r="B1216" s="24"/>
      <c r="C1216" s="24"/>
      <c r="D1216" s="24"/>
      <c r="E1216" s="25"/>
    </row>
    <row r="1217">
      <c r="A1217" s="24"/>
      <c r="B1217" s="24"/>
      <c r="C1217" s="24"/>
      <c r="D1217" s="24"/>
      <c r="E1217" s="25"/>
    </row>
    <row r="1218">
      <c r="A1218" s="24"/>
      <c r="B1218" s="24"/>
      <c r="C1218" s="24"/>
      <c r="D1218" s="24"/>
      <c r="E1218" s="25"/>
    </row>
    <row r="1219">
      <c r="A1219" s="24"/>
      <c r="B1219" s="24"/>
      <c r="C1219" s="24"/>
      <c r="D1219" s="24"/>
      <c r="E1219" s="25"/>
    </row>
    <row r="1220">
      <c r="A1220" s="24"/>
      <c r="B1220" s="24"/>
      <c r="C1220" s="24"/>
      <c r="D1220" s="24"/>
      <c r="E1220" s="25"/>
    </row>
    <row r="1221">
      <c r="A1221" s="24"/>
      <c r="B1221" s="24"/>
      <c r="C1221" s="24"/>
      <c r="D1221" s="24"/>
      <c r="E1221" s="25"/>
    </row>
    <row r="1222">
      <c r="A1222" s="24"/>
      <c r="B1222" s="24"/>
      <c r="C1222" s="24"/>
      <c r="D1222" s="24"/>
      <c r="E1222" s="25"/>
    </row>
    <row r="1223">
      <c r="A1223" s="24"/>
      <c r="B1223" s="24"/>
      <c r="C1223" s="24"/>
      <c r="D1223" s="24"/>
      <c r="E1223" s="25"/>
    </row>
    <row r="1224">
      <c r="A1224" s="24"/>
      <c r="B1224" s="24"/>
      <c r="C1224" s="24"/>
      <c r="D1224" s="24"/>
      <c r="E1224" s="25"/>
    </row>
    <row r="1225">
      <c r="A1225" s="24"/>
      <c r="B1225" s="24"/>
      <c r="C1225" s="24"/>
      <c r="D1225" s="24"/>
      <c r="E1225" s="25"/>
    </row>
    <row r="1226">
      <c r="A1226" s="24"/>
      <c r="B1226" s="24"/>
      <c r="C1226" s="24"/>
      <c r="D1226" s="24"/>
      <c r="E1226" s="25"/>
    </row>
    <row r="1227">
      <c r="A1227" s="24"/>
      <c r="B1227" s="24"/>
      <c r="C1227" s="24"/>
      <c r="D1227" s="24"/>
      <c r="E1227" s="25"/>
    </row>
    <row r="1228">
      <c r="A1228" s="24"/>
      <c r="B1228" s="24"/>
      <c r="C1228" s="24"/>
      <c r="D1228" s="24"/>
      <c r="E1228" s="25"/>
    </row>
    <row r="1229">
      <c r="A1229" s="24"/>
      <c r="B1229" s="24"/>
      <c r="C1229" s="24"/>
      <c r="D1229" s="24"/>
      <c r="E1229" s="25"/>
    </row>
    <row r="1230">
      <c r="A1230" s="24"/>
      <c r="B1230" s="24"/>
      <c r="C1230" s="24"/>
      <c r="D1230" s="24"/>
      <c r="E1230" s="25"/>
    </row>
    <row r="1231">
      <c r="A1231" s="24"/>
      <c r="B1231" s="24"/>
      <c r="C1231" s="24"/>
      <c r="D1231" s="24"/>
      <c r="E1231" s="25"/>
    </row>
    <row r="1232">
      <c r="A1232" s="24"/>
      <c r="B1232" s="24"/>
      <c r="C1232" s="24"/>
      <c r="D1232" s="24"/>
      <c r="E1232" s="25"/>
    </row>
    <row r="1233">
      <c r="A1233" s="24"/>
      <c r="B1233" s="24"/>
      <c r="C1233" s="24"/>
      <c r="D1233" s="24"/>
      <c r="E1233" s="25"/>
    </row>
    <row r="1234">
      <c r="A1234" s="24"/>
      <c r="B1234" s="24"/>
      <c r="C1234" s="24"/>
      <c r="D1234" s="24"/>
      <c r="E1234" s="25"/>
    </row>
    <row r="1235">
      <c r="A1235" s="24"/>
      <c r="B1235" s="24"/>
      <c r="C1235" s="24"/>
      <c r="D1235" s="24"/>
      <c r="E1235" s="25"/>
    </row>
    <row r="1236">
      <c r="A1236" s="24"/>
      <c r="B1236" s="24"/>
      <c r="C1236" s="24"/>
      <c r="D1236" s="24"/>
      <c r="E1236" s="25"/>
    </row>
    <row r="1237">
      <c r="A1237" s="24"/>
      <c r="B1237" s="24"/>
      <c r="C1237" s="24"/>
      <c r="D1237" s="24"/>
      <c r="E1237" s="25"/>
    </row>
    <row r="1238">
      <c r="A1238" s="24"/>
      <c r="B1238" s="24"/>
      <c r="C1238" s="24"/>
      <c r="D1238" s="24"/>
      <c r="E1238" s="25"/>
    </row>
    <row r="1239">
      <c r="A1239" s="24"/>
      <c r="B1239" s="24"/>
      <c r="C1239" s="24"/>
      <c r="D1239" s="24"/>
      <c r="E1239" s="25"/>
    </row>
    <row r="1240">
      <c r="A1240" s="24"/>
      <c r="B1240" s="24"/>
      <c r="C1240" s="24"/>
      <c r="D1240" s="24"/>
      <c r="E1240" s="25"/>
    </row>
    <row r="1241">
      <c r="A1241" s="24"/>
      <c r="B1241" s="24"/>
      <c r="C1241" s="24"/>
      <c r="D1241" s="24"/>
      <c r="E1241" s="25"/>
    </row>
    <row r="1242">
      <c r="A1242" s="24"/>
      <c r="B1242" s="24"/>
      <c r="C1242" s="24"/>
      <c r="D1242" s="24"/>
      <c r="E1242" s="25"/>
    </row>
    <row r="1243">
      <c r="A1243" s="24"/>
      <c r="B1243" s="24"/>
      <c r="C1243" s="24"/>
      <c r="D1243" s="24"/>
      <c r="E1243" s="25"/>
    </row>
    <row r="1244">
      <c r="A1244" s="24"/>
      <c r="B1244" s="24"/>
      <c r="C1244" s="24"/>
      <c r="D1244" s="24"/>
      <c r="E1244" s="25"/>
    </row>
    <row r="1245">
      <c r="A1245" s="24"/>
      <c r="B1245" s="24"/>
      <c r="C1245" s="24"/>
      <c r="D1245" s="24"/>
      <c r="E1245" s="25"/>
    </row>
    <row r="1246">
      <c r="A1246" s="24"/>
      <c r="B1246" s="24"/>
      <c r="C1246" s="24"/>
      <c r="D1246" s="24"/>
      <c r="E1246" s="25"/>
    </row>
    <row r="1247">
      <c r="A1247" s="24"/>
      <c r="B1247" s="24"/>
      <c r="C1247" s="24"/>
      <c r="D1247" s="24"/>
      <c r="E1247" s="25"/>
    </row>
    <row r="1248">
      <c r="A1248" s="24"/>
      <c r="B1248" s="24"/>
      <c r="C1248" s="24"/>
      <c r="D1248" s="24"/>
      <c r="E1248" s="25"/>
    </row>
    <row r="1249">
      <c r="A1249" s="24"/>
      <c r="B1249" s="24"/>
      <c r="C1249" s="24"/>
      <c r="D1249" s="24"/>
      <c r="E1249" s="25"/>
    </row>
    <row r="1250">
      <c r="A1250" s="24"/>
      <c r="B1250" s="24"/>
      <c r="C1250" s="24"/>
      <c r="D1250" s="24"/>
      <c r="E1250" s="25"/>
    </row>
    <row r="1251">
      <c r="A1251" s="24"/>
      <c r="B1251" s="24"/>
      <c r="C1251" s="24"/>
      <c r="D1251" s="24"/>
      <c r="E1251" s="25"/>
    </row>
    <row r="1252">
      <c r="A1252" s="24"/>
      <c r="B1252" s="24"/>
      <c r="C1252" s="24"/>
      <c r="D1252" s="24"/>
      <c r="E1252" s="25"/>
    </row>
    <row r="1253">
      <c r="A1253" s="24"/>
      <c r="B1253" s="24"/>
      <c r="C1253" s="24"/>
      <c r="D1253" s="24"/>
      <c r="E1253" s="25"/>
    </row>
    <row r="1254">
      <c r="A1254" s="24"/>
      <c r="B1254" s="24"/>
      <c r="C1254" s="24"/>
      <c r="D1254" s="24"/>
      <c r="E1254" s="25"/>
    </row>
    <row r="1255">
      <c r="A1255" s="24"/>
      <c r="B1255" s="24"/>
      <c r="C1255" s="24"/>
      <c r="D1255" s="24"/>
      <c r="E1255" s="25"/>
    </row>
    <row r="1256">
      <c r="A1256" s="24"/>
      <c r="B1256" s="24"/>
      <c r="C1256" s="24"/>
      <c r="D1256" s="24"/>
      <c r="E1256" s="25"/>
    </row>
    <row r="1257">
      <c r="A1257" s="24"/>
      <c r="B1257" s="24"/>
      <c r="C1257" s="24"/>
      <c r="D1257" s="24"/>
      <c r="E1257" s="25"/>
    </row>
    <row r="1258">
      <c r="A1258" s="24"/>
      <c r="B1258" s="24"/>
      <c r="C1258" s="24"/>
      <c r="D1258" s="24"/>
      <c r="E1258" s="25"/>
    </row>
    <row r="1259">
      <c r="A1259" s="24"/>
      <c r="B1259" s="24"/>
      <c r="C1259" s="24"/>
      <c r="D1259" s="24"/>
      <c r="E1259" s="25"/>
    </row>
    <row r="1260">
      <c r="A1260" s="24"/>
      <c r="B1260" s="24"/>
      <c r="C1260" s="24"/>
      <c r="D1260" s="24"/>
      <c r="E1260" s="25"/>
    </row>
    <row r="1261">
      <c r="A1261" s="24"/>
      <c r="B1261" s="24"/>
      <c r="C1261" s="24"/>
      <c r="D1261" s="24"/>
      <c r="E1261" s="25"/>
    </row>
    <row r="1262">
      <c r="A1262" s="24"/>
      <c r="B1262" s="24"/>
      <c r="C1262" s="24"/>
      <c r="D1262" s="24"/>
      <c r="E1262" s="25"/>
    </row>
    <row r="1263">
      <c r="A1263" s="24"/>
      <c r="B1263" s="24"/>
      <c r="C1263" s="24"/>
      <c r="D1263" s="24"/>
      <c r="E1263" s="25"/>
    </row>
    <row r="1264">
      <c r="A1264" s="24"/>
      <c r="B1264" s="24"/>
      <c r="C1264" s="24"/>
      <c r="D1264" s="24"/>
      <c r="E1264" s="25"/>
    </row>
    <row r="1265">
      <c r="A1265" s="24"/>
      <c r="B1265" s="24"/>
      <c r="C1265" s="24"/>
      <c r="D1265" s="24"/>
      <c r="E1265" s="25"/>
    </row>
    <row r="1266">
      <c r="A1266" s="24"/>
      <c r="B1266" s="24"/>
      <c r="C1266" s="24"/>
      <c r="D1266" s="24"/>
      <c r="E1266" s="25"/>
    </row>
    <row r="1267">
      <c r="A1267" s="24"/>
      <c r="B1267" s="24"/>
      <c r="C1267" s="24"/>
      <c r="D1267" s="24"/>
      <c r="E1267" s="25"/>
    </row>
    <row r="1268">
      <c r="A1268" s="24"/>
      <c r="B1268" s="24"/>
      <c r="C1268" s="24"/>
      <c r="D1268" s="24"/>
      <c r="E1268" s="25"/>
    </row>
    <row r="1269">
      <c r="A1269" s="24"/>
      <c r="B1269" s="24"/>
      <c r="C1269" s="24"/>
      <c r="D1269" s="24"/>
      <c r="E1269" s="25"/>
    </row>
    <row r="1270">
      <c r="A1270" s="24"/>
      <c r="B1270" s="24"/>
      <c r="C1270" s="24"/>
      <c r="D1270" s="24"/>
      <c r="E1270" s="25"/>
    </row>
    <row r="1271">
      <c r="A1271" s="24"/>
      <c r="B1271" s="24"/>
      <c r="C1271" s="24"/>
      <c r="D1271" s="24"/>
      <c r="E1271" s="25"/>
    </row>
    <row r="1272">
      <c r="A1272" s="24"/>
      <c r="B1272" s="24"/>
      <c r="C1272" s="24"/>
      <c r="D1272" s="24"/>
      <c r="E1272" s="25"/>
    </row>
    <row r="1273">
      <c r="A1273" s="24"/>
      <c r="B1273" s="24"/>
      <c r="C1273" s="24"/>
      <c r="D1273" s="24"/>
      <c r="E1273" s="25"/>
    </row>
    <row r="1274">
      <c r="A1274" s="24"/>
      <c r="B1274" s="24"/>
      <c r="C1274" s="24"/>
      <c r="D1274" s="24"/>
      <c r="E1274" s="25"/>
    </row>
    <row r="1275">
      <c r="A1275" s="24"/>
      <c r="B1275" s="24"/>
      <c r="C1275" s="24"/>
      <c r="D1275" s="24"/>
      <c r="E1275" s="25"/>
    </row>
    <row r="1276">
      <c r="A1276" s="24"/>
      <c r="B1276" s="24"/>
      <c r="C1276" s="24"/>
      <c r="D1276" s="24"/>
      <c r="E1276" s="25"/>
    </row>
    <row r="1277">
      <c r="A1277" s="24"/>
      <c r="B1277" s="24"/>
      <c r="C1277" s="24"/>
      <c r="D1277" s="24"/>
      <c r="E1277" s="25"/>
    </row>
    <row r="1278">
      <c r="A1278" s="24"/>
      <c r="B1278" s="24"/>
      <c r="C1278" s="24"/>
      <c r="D1278" s="24"/>
      <c r="E1278" s="25"/>
    </row>
    <row r="1279">
      <c r="A1279" s="24"/>
      <c r="B1279" s="24"/>
      <c r="C1279" s="24"/>
      <c r="D1279" s="24"/>
      <c r="E1279" s="25"/>
    </row>
    <row r="1280">
      <c r="A1280" s="24"/>
      <c r="B1280" s="24"/>
      <c r="C1280" s="24"/>
      <c r="D1280" s="24"/>
      <c r="E1280" s="25"/>
    </row>
    <row r="1281">
      <c r="A1281" s="24"/>
      <c r="B1281" s="24"/>
      <c r="C1281" s="24"/>
      <c r="D1281" s="24"/>
      <c r="E1281" s="25"/>
    </row>
    <row r="1282">
      <c r="A1282" s="24"/>
      <c r="B1282" s="24"/>
      <c r="C1282" s="24"/>
      <c r="D1282" s="24"/>
      <c r="E1282" s="25"/>
    </row>
    <row r="1283">
      <c r="A1283" s="24"/>
      <c r="B1283" s="24"/>
      <c r="C1283" s="24"/>
      <c r="D1283" s="24"/>
      <c r="E1283" s="25"/>
    </row>
    <row r="1284">
      <c r="A1284" s="24"/>
      <c r="B1284" s="24"/>
      <c r="C1284" s="24"/>
      <c r="D1284" s="24"/>
      <c r="E1284" s="25"/>
    </row>
    <row r="1285">
      <c r="A1285" s="24"/>
      <c r="B1285" s="24"/>
      <c r="C1285" s="24"/>
      <c r="D1285" s="24"/>
      <c r="E1285" s="25"/>
    </row>
    <row r="1286">
      <c r="A1286" s="24"/>
      <c r="B1286" s="24"/>
      <c r="C1286" s="24"/>
      <c r="D1286" s="24"/>
      <c r="E1286" s="25"/>
    </row>
    <row r="1287">
      <c r="A1287" s="24"/>
      <c r="B1287" s="24"/>
      <c r="C1287" s="24"/>
      <c r="D1287" s="24"/>
      <c r="E1287" s="25"/>
    </row>
    <row r="1288">
      <c r="A1288" s="24"/>
      <c r="B1288" s="24"/>
      <c r="C1288" s="24"/>
      <c r="D1288" s="24"/>
      <c r="E1288" s="25"/>
    </row>
    <row r="1289">
      <c r="A1289" s="24"/>
      <c r="B1289" s="24"/>
      <c r="C1289" s="24"/>
      <c r="D1289" s="24"/>
      <c r="E1289" s="25"/>
    </row>
    <row r="1290">
      <c r="A1290" s="24"/>
      <c r="B1290" s="24"/>
      <c r="C1290" s="24"/>
      <c r="D1290" s="24"/>
      <c r="E1290" s="25"/>
    </row>
    <row r="1291">
      <c r="A1291" s="24"/>
      <c r="B1291" s="24"/>
      <c r="C1291" s="24"/>
      <c r="D1291" s="24"/>
      <c r="E1291" s="25"/>
    </row>
    <row r="1292">
      <c r="A1292" s="24"/>
      <c r="B1292" s="24"/>
      <c r="C1292" s="24"/>
      <c r="D1292" s="24"/>
      <c r="E1292" s="25"/>
    </row>
    <row r="1293">
      <c r="A1293" s="24"/>
      <c r="B1293" s="24"/>
      <c r="C1293" s="24"/>
      <c r="D1293" s="24"/>
      <c r="E1293" s="25"/>
    </row>
    <row r="1294">
      <c r="A1294" s="24"/>
      <c r="B1294" s="24"/>
      <c r="C1294" s="24"/>
      <c r="D1294" s="24"/>
      <c r="E1294" s="25"/>
    </row>
    <row r="1295">
      <c r="A1295" s="24"/>
      <c r="B1295" s="24"/>
      <c r="C1295" s="24"/>
      <c r="D1295" s="24"/>
      <c r="E1295" s="25"/>
    </row>
    <row r="1296">
      <c r="A1296" s="24"/>
      <c r="B1296" s="24"/>
      <c r="C1296" s="24"/>
      <c r="D1296" s="24"/>
      <c r="E1296" s="25"/>
    </row>
    <row r="1297">
      <c r="A1297" s="24"/>
      <c r="B1297" s="24"/>
      <c r="C1297" s="24"/>
      <c r="D1297" s="24"/>
      <c r="E1297" s="25"/>
    </row>
    <row r="1298">
      <c r="A1298" s="24"/>
      <c r="B1298" s="24"/>
      <c r="C1298" s="24"/>
      <c r="D1298" s="24"/>
      <c r="E1298" s="25"/>
    </row>
    <row r="1299">
      <c r="A1299" s="24"/>
      <c r="B1299" s="24"/>
      <c r="C1299" s="24"/>
      <c r="D1299" s="24"/>
      <c r="E1299" s="25"/>
    </row>
    <row r="1300">
      <c r="A1300" s="24"/>
      <c r="B1300" s="24"/>
      <c r="C1300" s="24"/>
      <c r="D1300" s="24"/>
      <c r="E1300" s="25"/>
    </row>
    <row r="1301">
      <c r="A1301" s="24"/>
      <c r="B1301" s="24"/>
      <c r="C1301" s="24"/>
      <c r="D1301" s="24"/>
      <c r="E1301" s="25"/>
    </row>
    <row r="1302">
      <c r="A1302" s="24"/>
      <c r="B1302" s="24"/>
      <c r="C1302" s="24"/>
      <c r="D1302" s="24"/>
      <c r="E1302" s="25"/>
    </row>
    <row r="1303">
      <c r="A1303" s="24"/>
      <c r="B1303" s="24"/>
      <c r="C1303" s="24"/>
      <c r="D1303" s="24"/>
      <c r="E1303" s="25"/>
    </row>
    <row r="1304">
      <c r="A1304" s="24"/>
      <c r="B1304" s="24"/>
      <c r="C1304" s="24"/>
      <c r="D1304" s="24"/>
      <c r="E1304" s="25"/>
    </row>
    <row r="1305">
      <c r="A1305" s="24"/>
      <c r="B1305" s="24"/>
      <c r="C1305" s="24"/>
      <c r="D1305" s="24"/>
      <c r="E1305" s="25"/>
    </row>
    <row r="1306">
      <c r="A1306" s="24"/>
      <c r="B1306" s="24"/>
      <c r="C1306" s="24"/>
      <c r="D1306" s="24"/>
      <c r="E1306" s="25"/>
    </row>
    <row r="1307">
      <c r="A1307" s="24"/>
      <c r="B1307" s="24"/>
      <c r="C1307" s="24"/>
      <c r="D1307" s="24"/>
      <c r="E1307" s="25"/>
    </row>
    <row r="1308">
      <c r="A1308" s="24"/>
      <c r="B1308" s="24"/>
      <c r="C1308" s="24"/>
      <c r="D1308" s="24"/>
      <c r="E1308" s="25"/>
    </row>
    <row r="1309">
      <c r="A1309" s="24"/>
      <c r="B1309" s="24"/>
      <c r="C1309" s="24"/>
      <c r="D1309" s="24"/>
      <c r="E1309" s="25"/>
    </row>
    <row r="1310">
      <c r="A1310" s="24"/>
      <c r="B1310" s="24"/>
      <c r="C1310" s="24"/>
      <c r="D1310" s="24"/>
      <c r="E1310" s="25"/>
    </row>
    <row r="1311">
      <c r="A1311" s="24"/>
      <c r="B1311" s="24"/>
      <c r="C1311" s="24"/>
      <c r="D1311" s="24"/>
      <c r="E1311" s="25"/>
    </row>
    <row r="1312">
      <c r="A1312" s="24"/>
      <c r="B1312" s="24"/>
      <c r="C1312" s="24"/>
      <c r="D1312" s="24"/>
      <c r="E1312" s="25"/>
    </row>
    <row r="1313">
      <c r="A1313" s="24"/>
      <c r="B1313" s="24"/>
      <c r="C1313" s="24"/>
      <c r="D1313" s="24"/>
      <c r="E1313" s="25"/>
    </row>
    <row r="1314">
      <c r="A1314" s="24"/>
      <c r="B1314" s="24"/>
      <c r="C1314" s="24"/>
      <c r="D1314" s="24"/>
      <c r="E1314" s="25"/>
    </row>
    <row r="1315">
      <c r="A1315" s="24"/>
      <c r="B1315" s="24"/>
      <c r="C1315" s="24"/>
      <c r="D1315" s="24"/>
      <c r="E1315" s="25"/>
    </row>
    <row r="1316">
      <c r="A1316" s="24"/>
      <c r="B1316" s="24"/>
      <c r="C1316" s="24"/>
      <c r="D1316" s="24"/>
      <c r="E1316" s="25"/>
    </row>
    <row r="1317">
      <c r="A1317" s="24"/>
      <c r="B1317" s="24"/>
      <c r="C1317" s="24"/>
      <c r="D1317" s="24"/>
      <c r="E1317" s="25"/>
    </row>
    <row r="1318">
      <c r="A1318" s="24"/>
      <c r="B1318" s="24"/>
      <c r="C1318" s="24"/>
      <c r="D1318" s="24"/>
      <c r="E1318" s="25"/>
    </row>
    <row r="1319">
      <c r="A1319" s="24"/>
      <c r="B1319" s="24"/>
      <c r="C1319" s="24"/>
      <c r="D1319" s="24"/>
      <c r="E1319" s="25"/>
    </row>
    <row r="1320">
      <c r="A1320" s="24"/>
      <c r="B1320" s="24"/>
      <c r="C1320" s="24"/>
      <c r="D1320" s="24"/>
      <c r="E1320" s="25"/>
    </row>
    <row r="1321">
      <c r="A1321" s="24"/>
      <c r="B1321" s="24"/>
      <c r="C1321" s="24"/>
      <c r="D1321" s="24"/>
      <c r="E1321" s="25"/>
    </row>
    <row r="1322">
      <c r="A1322" s="24"/>
      <c r="B1322" s="24"/>
      <c r="C1322" s="24"/>
      <c r="D1322" s="24"/>
      <c r="E1322" s="25"/>
    </row>
    <row r="1323">
      <c r="A1323" s="24"/>
      <c r="B1323" s="24"/>
      <c r="C1323" s="24"/>
      <c r="D1323" s="24"/>
      <c r="E1323" s="25"/>
    </row>
    <row r="1324">
      <c r="A1324" s="24"/>
      <c r="B1324" s="24"/>
      <c r="C1324" s="24"/>
      <c r="D1324" s="24"/>
      <c r="E1324" s="25"/>
    </row>
    <row r="1325">
      <c r="A1325" s="24"/>
      <c r="B1325" s="24"/>
      <c r="C1325" s="24"/>
      <c r="D1325" s="24"/>
      <c r="E1325" s="25"/>
    </row>
    <row r="1326">
      <c r="A1326" s="24"/>
      <c r="B1326" s="24"/>
      <c r="C1326" s="24"/>
      <c r="D1326" s="24"/>
      <c r="E1326" s="25"/>
    </row>
    <row r="1327">
      <c r="A1327" s="24"/>
      <c r="B1327" s="24"/>
      <c r="C1327" s="24"/>
      <c r="D1327" s="24"/>
      <c r="E1327" s="25"/>
    </row>
    <row r="1328">
      <c r="A1328" s="24"/>
      <c r="B1328" s="24"/>
      <c r="C1328" s="24"/>
      <c r="D1328" s="24"/>
      <c r="E1328" s="25"/>
    </row>
    <row r="1329">
      <c r="A1329" s="24"/>
      <c r="B1329" s="24"/>
      <c r="C1329" s="24"/>
      <c r="D1329" s="24"/>
      <c r="E1329" s="25"/>
    </row>
    <row r="1330">
      <c r="A1330" s="24"/>
      <c r="B1330" s="24"/>
      <c r="C1330" s="24"/>
      <c r="D1330" s="24"/>
      <c r="E1330" s="25"/>
    </row>
    <row r="1331">
      <c r="A1331" s="24"/>
      <c r="B1331" s="24"/>
      <c r="C1331" s="24"/>
      <c r="D1331" s="24"/>
      <c r="E1331" s="25"/>
    </row>
    <row r="1332">
      <c r="A1332" s="24"/>
      <c r="B1332" s="24"/>
      <c r="C1332" s="24"/>
      <c r="D1332" s="24"/>
      <c r="E1332" s="25"/>
    </row>
    <row r="1333">
      <c r="A1333" s="24"/>
      <c r="B1333" s="24"/>
      <c r="C1333" s="24"/>
      <c r="D1333" s="24"/>
      <c r="E1333" s="25"/>
    </row>
    <row r="1334">
      <c r="A1334" s="24"/>
      <c r="B1334" s="24"/>
      <c r="C1334" s="24"/>
      <c r="D1334" s="24"/>
      <c r="E1334" s="25"/>
    </row>
    <row r="1335">
      <c r="A1335" s="24"/>
      <c r="B1335" s="24"/>
      <c r="C1335" s="24"/>
      <c r="D1335" s="24"/>
      <c r="E1335" s="25"/>
    </row>
    <row r="1336">
      <c r="A1336" s="24"/>
      <c r="B1336" s="24"/>
      <c r="C1336" s="24"/>
      <c r="D1336" s="24"/>
      <c r="E1336" s="25"/>
    </row>
    <row r="1337">
      <c r="A1337" s="24"/>
      <c r="B1337" s="24"/>
      <c r="C1337" s="24"/>
      <c r="D1337" s="24"/>
      <c r="E1337" s="25"/>
    </row>
    <row r="1338">
      <c r="A1338" s="24"/>
      <c r="B1338" s="24"/>
      <c r="C1338" s="24"/>
      <c r="D1338" s="24"/>
      <c r="E1338" s="25"/>
    </row>
    <row r="1339">
      <c r="A1339" s="24"/>
      <c r="B1339" s="24"/>
      <c r="C1339" s="24"/>
      <c r="D1339" s="24"/>
      <c r="E1339" s="25"/>
    </row>
    <row r="1340">
      <c r="A1340" s="24"/>
      <c r="B1340" s="24"/>
      <c r="C1340" s="24"/>
      <c r="D1340" s="24"/>
      <c r="E1340" s="25"/>
    </row>
    <row r="1341">
      <c r="A1341" s="24"/>
      <c r="B1341" s="24"/>
      <c r="C1341" s="24"/>
      <c r="D1341" s="24"/>
      <c r="E1341" s="25"/>
    </row>
    <row r="1342">
      <c r="A1342" s="24"/>
      <c r="B1342" s="24"/>
      <c r="C1342" s="24"/>
      <c r="D1342" s="24"/>
      <c r="E1342" s="25"/>
    </row>
    <row r="1343">
      <c r="A1343" s="24"/>
      <c r="B1343" s="24"/>
      <c r="C1343" s="24"/>
      <c r="D1343" s="24"/>
      <c r="E1343" s="25"/>
    </row>
    <row r="1344">
      <c r="A1344" s="24"/>
      <c r="B1344" s="24"/>
      <c r="C1344" s="24"/>
      <c r="D1344" s="24"/>
      <c r="E1344" s="25"/>
    </row>
    <row r="1345">
      <c r="A1345" s="24"/>
      <c r="B1345" s="24"/>
      <c r="C1345" s="24"/>
      <c r="D1345" s="24"/>
      <c r="E1345" s="25"/>
    </row>
    <row r="1346">
      <c r="A1346" s="24"/>
      <c r="B1346" s="24"/>
      <c r="C1346" s="24"/>
      <c r="D1346" s="24"/>
      <c r="E1346" s="25"/>
    </row>
    <row r="1347">
      <c r="A1347" s="24"/>
      <c r="B1347" s="24"/>
      <c r="C1347" s="24"/>
      <c r="D1347" s="24"/>
      <c r="E1347" s="25"/>
    </row>
    <row r="1348">
      <c r="A1348" s="24"/>
      <c r="B1348" s="24"/>
      <c r="C1348" s="24"/>
      <c r="D1348" s="24"/>
      <c r="E1348" s="25"/>
    </row>
    <row r="1349">
      <c r="A1349" s="24"/>
      <c r="B1349" s="24"/>
      <c r="C1349" s="24"/>
      <c r="D1349" s="24"/>
      <c r="E1349" s="25"/>
    </row>
    <row r="1350">
      <c r="A1350" s="24"/>
      <c r="B1350" s="24"/>
      <c r="C1350" s="24"/>
      <c r="D1350" s="24"/>
      <c r="E1350" s="25"/>
    </row>
    <row r="1351">
      <c r="A1351" s="24"/>
      <c r="B1351" s="24"/>
      <c r="C1351" s="24"/>
      <c r="D1351" s="24"/>
      <c r="E1351" s="25"/>
    </row>
    <row r="1352">
      <c r="A1352" s="24"/>
      <c r="B1352" s="24"/>
      <c r="C1352" s="24"/>
      <c r="D1352" s="24"/>
      <c r="E1352" s="25"/>
    </row>
    <row r="1353">
      <c r="A1353" s="24"/>
      <c r="B1353" s="24"/>
      <c r="C1353" s="24"/>
      <c r="D1353" s="24"/>
      <c r="E1353" s="25"/>
    </row>
    <row r="1354">
      <c r="A1354" s="24"/>
      <c r="B1354" s="24"/>
      <c r="C1354" s="24"/>
      <c r="D1354" s="24"/>
      <c r="E1354" s="25"/>
    </row>
    <row r="1355">
      <c r="A1355" s="24"/>
      <c r="B1355" s="24"/>
      <c r="C1355" s="24"/>
      <c r="D1355" s="24"/>
      <c r="E1355" s="25"/>
    </row>
    <row r="1356">
      <c r="A1356" s="24"/>
      <c r="B1356" s="24"/>
      <c r="C1356" s="24"/>
      <c r="D1356" s="24"/>
      <c r="E1356" s="25"/>
    </row>
    <row r="1357">
      <c r="A1357" s="24"/>
      <c r="B1357" s="24"/>
      <c r="C1357" s="24"/>
      <c r="D1357" s="24"/>
      <c r="E1357" s="25"/>
    </row>
    <row r="1358">
      <c r="A1358" s="24"/>
      <c r="B1358" s="24"/>
      <c r="C1358" s="24"/>
      <c r="D1358" s="24"/>
      <c r="E1358" s="25"/>
    </row>
    <row r="1359">
      <c r="A1359" s="24"/>
      <c r="B1359" s="24"/>
      <c r="C1359" s="24"/>
      <c r="D1359" s="24"/>
      <c r="E1359" s="25"/>
    </row>
    <row r="1360">
      <c r="A1360" s="24"/>
      <c r="B1360" s="24"/>
      <c r="C1360" s="24"/>
      <c r="D1360" s="24"/>
      <c r="E1360" s="25"/>
    </row>
    <row r="1361">
      <c r="A1361" s="24"/>
      <c r="B1361" s="24"/>
      <c r="C1361" s="24"/>
      <c r="D1361" s="24"/>
      <c r="E1361" s="25"/>
    </row>
    <row r="1362">
      <c r="A1362" s="24"/>
      <c r="B1362" s="24"/>
      <c r="C1362" s="24"/>
      <c r="D1362" s="24"/>
      <c r="E1362" s="25"/>
    </row>
    <row r="1363">
      <c r="A1363" s="24"/>
      <c r="B1363" s="24"/>
      <c r="C1363" s="24"/>
      <c r="D1363" s="24"/>
      <c r="E1363" s="25"/>
    </row>
    <row r="1364">
      <c r="A1364" s="24"/>
      <c r="B1364" s="24"/>
      <c r="C1364" s="24"/>
      <c r="D1364" s="24"/>
      <c r="E1364" s="25"/>
    </row>
    <row r="1365">
      <c r="A1365" s="24"/>
      <c r="B1365" s="24"/>
      <c r="C1365" s="24"/>
      <c r="D1365" s="24"/>
      <c r="E1365" s="25"/>
    </row>
    <row r="1366">
      <c r="A1366" s="24"/>
      <c r="B1366" s="24"/>
      <c r="C1366" s="24"/>
      <c r="D1366" s="24"/>
      <c r="E1366" s="25"/>
    </row>
    <row r="1367">
      <c r="A1367" s="24"/>
      <c r="B1367" s="24"/>
      <c r="C1367" s="24"/>
      <c r="D1367" s="24"/>
      <c r="E1367" s="25"/>
    </row>
    <row r="1368">
      <c r="A1368" s="24"/>
      <c r="B1368" s="24"/>
      <c r="C1368" s="24"/>
      <c r="D1368" s="24"/>
      <c r="E1368" s="25"/>
    </row>
    <row r="1369">
      <c r="A1369" s="24"/>
      <c r="B1369" s="24"/>
      <c r="C1369" s="24"/>
      <c r="D1369" s="24"/>
      <c r="E1369" s="25"/>
    </row>
    <row r="1370">
      <c r="A1370" s="24"/>
      <c r="B1370" s="24"/>
      <c r="C1370" s="24"/>
      <c r="D1370" s="24"/>
      <c r="E1370" s="25"/>
    </row>
    <row r="1371">
      <c r="A1371" s="24"/>
      <c r="B1371" s="24"/>
      <c r="C1371" s="24"/>
      <c r="D1371" s="24"/>
      <c r="E1371" s="25"/>
    </row>
    <row r="1372">
      <c r="A1372" s="24"/>
      <c r="B1372" s="24"/>
      <c r="C1372" s="24"/>
      <c r="D1372" s="24"/>
      <c r="E1372" s="25"/>
    </row>
    <row r="1373">
      <c r="A1373" s="24"/>
      <c r="B1373" s="24"/>
      <c r="C1373" s="24"/>
      <c r="D1373" s="24"/>
      <c r="E1373" s="25"/>
    </row>
    <row r="1374">
      <c r="A1374" s="24"/>
      <c r="B1374" s="24"/>
      <c r="C1374" s="24"/>
      <c r="D1374" s="24"/>
      <c r="E1374" s="25"/>
    </row>
    <row r="1375">
      <c r="A1375" s="24"/>
      <c r="B1375" s="24"/>
      <c r="C1375" s="24"/>
      <c r="D1375" s="24"/>
      <c r="E1375" s="25"/>
    </row>
    <row r="1376">
      <c r="A1376" s="24"/>
      <c r="B1376" s="24"/>
      <c r="C1376" s="24"/>
      <c r="D1376" s="24"/>
      <c r="E1376" s="25"/>
    </row>
    <row r="1377">
      <c r="A1377" s="24"/>
      <c r="B1377" s="24"/>
      <c r="C1377" s="24"/>
      <c r="D1377" s="24"/>
      <c r="E1377" s="25"/>
    </row>
    <row r="1378">
      <c r="A1378" s="24"/>
      <c r="B1378" s="24"/>
      <c r="C1378" s="24"/>
      <c r="D1378" s="24"/>
      <c r="E1378" s="25"/>
    </row>
    <row r="1379">
      <c r="A1379" s="24"/>
      <c r="B1379" s="24"/>
      <c r="C1379" s="24"/>
      <c r="D1379" s="24"/>
      <c r="E1379" s="25"/>
    </row>
    <row r="1380">
      <c r="A1380" s="24"/>
      <c r="B1380" s="24"/>
      <c r="C1380" s="24"/>
      <c r="D1380" s="24"/>
      <c r="E1380" s="25"/>
    </row>
    <row r="1381">
      <c r="A1381" s="24"/>
      <c r="B1381" s="24"/>
      <c r="C1381" s="24"/>
      <c r="D1381" s="24"/>
      <c r="E1381" s="25"/>
    </row>
    <row r="1382">
      <c r="A1382" s="24"/>
      <c r="B1382" s="24"/>
      <c r="C1382" s="24"/>
      <c r="D1382" s="24"/>
      <c r="E1382" s="25"/>
    </row>
    <row r="1383">
      <c r="A1383" s="24"/>
      <c r="B1383" s="24"/>
      <c r="C1383" s="24"/>
      <c r="D1383" s="24"/>
      <c r="E1383" s="25"/>
    </row>
    <row r="1384">
      <c r="A1384" s="24"/>
      <c r="B1384" s="24"/>
      <c r="C1384" s="24"/>
      <c r="D1384" s="24"/>
      <c r="E1384" s="25"/>
    </row>
    <row r="1385">
      <c r="A1385" s="24"/>
      <c r="B1385" s="24"/>
      <c r="C1385" s="24"/>
      <c r="D1385" s="24"/>
      <c r="E1385" s="25"/>
    </row>
    <row r="1386">
      <c r="A1386" s="24"/>
      <c r="B1386" s="24"/>
      <c r="C1386" s="24"/>
      <c r="D1386" s="24"/>
      <c r="E1386" s="25"/>
    </row>
    <row r="1387">
      <c r="A1387" s="24"/>
      <c r="B1387" s="24"/>
      <c r="C1387" s="24"/>
      <c r="D1387" s="24"/>
      <c r="E1387" s="25"/>
    </row>
    <row r="1388">
      <c r="A1388" s="24"/>
      <c r="B1388" s="24"/>
      <c r="C1388" s="24"/>
      <c r="D1388" s="24"/>
      <c r="E1388" s="25"/>
    </row>
    <row r="1389">
      <c r="A1389" s="24"/>
      <c r="B1389" s="24"/>
      <c r="C1389" s="24"/>
      <c r="D1389" s="24"/>
      <c r="E1389" s="25"/>
    </row>
    <row r="1390">
      <c r="A1390" s="24"/>
      <c r="B1390" s="24"/>
      <c r="C1390" s="24"/>
      <c r="D1390" s="24"/>
      <c r="E1390" s="25"/>
    </row>
    <row r="1391">
      <c r="A1391" s="24"/>
      <c r="B1391" s="24"/>
      <c r="C1391" s="24"/>
      <c r="D1391" s="24"/>
      <c r="E1391" s="25"/>
    </row>
    <row r="1392">
      <c r="A1392" s="24"/>
      <c r="B1392" s="24"/>
      <c r="C1392" s="24"/>
      <c r="D1392" s="24"/>
      <c r="E1392" s="25"/>
    </row>
    <row r="1393">
      <c r="A1393" s="24"/>
      <c r="B1393" s="24"/>
      <c r="C1393" s="24"/>
      <c r="D1393" s="24"/>
      <c r="E1393" s="25"/>
    </row>
    <row r="1394">
      <c r="A1394" s="24"/>
      <c r="B1394" s="24"/>
      <c r="C1394" s="24"/>
      <c r="D1394" s="24"/>
      <c r="E1394" s="25"/>
    </row>
    <row r="1395">
      <c r="A1395" s="24"/>
      <c r="B1395" s="24"/>
      <c r="C1395" s="24"/>
      <c r="D1395" s="24"/>
      <c r="E1395" s="25"/>
    </row>
    <row r="1396">
      <c r="A1396" s="24"/>
      <c r="B1396" s="24"/>
      <c r="C1396" s="24"/>
      <c r="D1396" s="24"/>
      <c r="E1396" s="25"/>
    </row>
    <row r="1397">
      <c r="A1397" s="24"/>
      <c r="B1397" s="24"/>
      <c r="C1397" s="24"/>
      <c r="D1397" s="24"/>
      <c r="E1397" s="25"/>
    </row>
    <row r="1398">
      <c r="A1398" s="24"/>
      <c r="B1398" s="24"/>
      <c r="C1398" s="24"/>
      <c r="D1398" s="24"/>
      <c r="E1398" s="25"/>
    </row>
    <row r="1399">
      <c r="A1399" s="24"/>
      <c r="B1399" s="24"/>
      <c r="C1399" s="24"/>
      <c r="D1399" s="24"/>
      <c r="E1399" s="25"/>
    </row>
    <row r="1400">
      <c r="A1400" s="24"/>
      <c r="B1400" s="24"/>
      <c r="C1400" s="24"/>
      <c r="D1400" s="24"/>
      <c r="E1400" s="25"/>
    </row>
    <row r="1401">
      <c r="A1401" s="24"/>
      <c r="B1401" s="24"/>
      <c r="C1401" s="24"/>
      <c r="D1401" s="24"/>
      <c r="E1401" s="25"/>
    </row>
    <row r="1402">
      <c r="A1402" s="24"/>
      <c r="B1402" s="24"/>
      <c r="C1402" s="24"/>
      <c r="D1402" s="24"/>
      <c r="E1402" s="25"/>
    </row>
    <row r="1403">
      <c r="A1403" s="24"/>
      <c r="B1403" s="24"/>
      <c r="C1403" s="24"/>
      <c r="D1403" s="24"/>
      <c r="E1403" s="25"/>
    </row>
    <row r="1404">
      <c r="A1404" s="24"/>
      <c r="B1404" s="24"/>
      <c r="C1404" s="24"/>
      <c r="D1404" s="24"/>
      <c r="E1404" s="25"/>
    </row>
    <row r="1405">
      <c r="A1405" s="24"/>
      <c r="B1405" s="24"/>
      <c r="C1405" s="24"/>
      <c r="D1405" s="24"/>
      <c r="E1405" s="25"/>
    </row>
    <row r="1406">
      <c r="A1406" s="24"/>
      <c r="B1406" s="24"/>
      <c r="C1406" s="24"/>
      <c r="D1406" s="24"/>
      <c r="E1406" s="25"/>
    </row>
    <row r="1407">
      <c r="A1407" s="24"/>
      <c r="B1407" s="24"/>
      <c r="C1407" s="24"/>
      <c r="D1407" s="24"/>
      <c r="E1407" s="25"/>
    </row>
    <row r="1408">
      <c r="A1408" s="24"/>
      <c r="B1408" s="24"/>
      <c r="C1408" s="24"/>
      <c r="D1408" s="24"/>
      <c r="E1408" s="25"/>
    </row>
    <row r="1409">
      <c r="A1409" s="24"/>
      <c r="B1409" s="24"/>
      <c r="C1409" s="24"/>
      <c r="D1409" s="24"/>
      <c r="E1409" s="25"/>
    </row>
    <row r="1410">
      <c r="A1410" s="24"/>
      <c r="B1410" s="24"/>
      <c r="C1410" s="24"/>
      <c r="D1410" s="24"/>
      <c r="E1410" s="25"/>
    </row>
    <row r="1411">
      <c r="A1411" s="24"/>
      <c r="B1411" s="24"/>
      <c r="C1411" s="24"/>
      <c r="D1411" s="24"/>
      <c r="E1411" s="25"/>
    </row>
    <row r="1412">
      <c r="A1412" s="24"/>
      <c r="B1412" s="24"/>
      <c r="C1412" s="24"/>
      <c r="D1412" s="24"/>
      <c r="E1412" s="25"/>
    </row>
    <row r="1413">
      <c r="A1413" s="24"/>
      <c r="B1413" s="24"/>
      <c r="C1413" s="24"/>
      <c r="D1413" s="24"/>
      <c r="E1413" s="25"/>
    </row>
    <row r="1414">
      <c r="A1414" s="24"/>
      <c r="B1414" s="24"/>
      <c r="C1414" s="24"/>
      <c r="D1414" s="24"/>
      <c r="E1414" s="25"/>
    </row>
    <row r="1415">
      <c r="A1415" s="24"/>
      <c r="B1415" s="24"/>
      <c r="C1415" s="24"/>
      <c r="D1415" s="24"/>
      <c r="E1415" s="25"/>
    </row>
    <row r="1416">
      <c r="A1416" s="24"/>
      <c r="B1416" s="24"/>
      <c r="C1416" s="24"/>
      <c r="D1416" s="24"/>
      <c r="E1416" s="25"/>
    </row>
    <row r="1417">
      <c r="A1417" s="24"/>
      <c r="B1417" s="24"/>
      <c r="C1417" s="24"/>
      <c r="D1417" s="24"/>
      <c r="E1417" s="25"/>
    </row>
    <row r="1418">
      <c r="A1418" s="24"/>
      <c r="B1418" s="24"/>
      <c r="C1418" s="24"/>
      <c r="D1418" s="24"/>
      <c r="E1418" s="25"/>
    </row>
    <row r="1419">
      <c r="A1419" s="24"/>
      <c r="B1419" s="24"/>
      <c r="C1419" s="24"/>
      <c r="D1419" s="24"/>
      <c r="E1419" s="25"/>
    </row>
    <row r="1420">
      <c r="A1420" s="24"/>
      <c r="B1420" s="24"/>
      <c r="C1420" s="24"/>
      <c r="D1420" s="24"/>
      <c r="E1420" s="25"/>
    </row>
    <row r="1421">
      <c r="A1421" s="24"/>
      <c r="B1421" s="24"/>
      <c r="C1421" s="24"/>
      <c r="D1421" s="24"/>
      <c r="E1421" s="25"/>
    </row>
    <row r="1422">
      <c r="A1422" s="24"/>
      <c r="B1422" s="24"/>
      <c r="C1422" s="24"/>
      <c r="D1422" s="24"/>
      <c r="E1422" s="25"/>
    </row>
    <row r="1423">
      <c r="A1423" s="24"/>
      <c r="B1423" s="24"/>
      <c r="C1423" s="24"/>
      <c r="D1423" s="24"/>
      <c r="E1423" s="25"/>
    </row>
    <row r="1424">
      <c r="A1424" s="24"/>
      <c r="B1424" s="24"/>
      <c r="C1424" s="24"/>
      <c r="D1424" s="24"/>
      <c r="E1424" s="25"/>
    </row>
    <row r="1425">
      <c r="A1425" s="24"/>
      <c r="B1425" s="24"/>
      <c r="C1425" s="24"/>
      <c r="D1425" s="24"/>
      <c r="E1425" s="25"/>
    </row>
    <row r="1426">
      <c r="A1426" s="24"/>
      <c r="B1426" s="24"/>
      <c r="C1426" s="24"/>
      <c r="D1426" s="24"/>
      <c r="E1426" s="25"/>
    </row>
    <row r="1427">
      <c r="A1427" s="24"/>
      <c r="B1427" s="24"/>
      <c r="C1427" s="24"/>
      <c r="D1427" s="24"/>
      <c r="E1427" s="25"/>
    </row>
    <row r="1428">
      <c r="A1428" s="24"/>
      <c r="B1428" s="24"/>
      <c r="C1428" s="24"/>
      <c r="D1428" s="24"/>
      <c r="E1428" s="25"/>
    </row>
    <row r="1429">
      <c r="A1429" s="24"/>
      <c r="B1429" s="24"/>
      <c r="C1429" s="24"/>
      <c r="D1429" s="24"/>
      <c r="E1429" s="25"/>
    </row>
    <row r="1430">
      <c r="A1430" s="24"/>
      <c r="B1430" s="24"/>
      <c r="C1430" s="24"/>
      <c r="D1430" s="24"/>
      <c r="E1430" s="25"/>
    </row>
    <row r="1431">
      <c r="A1431" s="24"/>
      <c r="B1431" s="24"/>
      <c r="C1431" s="24"/>
      <c r="D1431" s="24"/>
      <c r="E1431" s="25"/>
    </row>
    <row r="1432">
      <c r="A1432" s="24"/>
      <c r="B1432" s="24"/>
      <c r="C1432" s="24"/>
      <c r="D1432" s="24"/>
      <c r="E1432" s="25"/>
    </row>
    <row r="1433">
      <c r="A1433" s="24"/>
      <c r="B1433" s="24"/>
      <c r="C1433" s="24"/>
      <c r="D1433" s="24"/>
      <c r="E1433" s="25"/>
    </row>
    <row r="1434">
      <c r="A1434" s="24"/>
      <c r="B1434" s="24"/>
      <c r="C1434" s="24"/>
      <c r="D1434" s="24"/>
      <c r="E1434" s="25"/>
    </row>
    <row r="1435">
      <c r="A1435" s="24"/>
      <c r="B1435" s="24"/>
      <c r="C1435" s="24"/>
      <c r="D1435" s="24"/>
      <c r="E1435" s="25"/>
    </row>
    <row r="1436">
      <c r="A1436" s="24"/>
      <c r="B1436" s="24"/>
      <c r="C1436" s="24"/>
      <c r="D1436" s="24"/>
      <c r="E1436" s="25"/>
    </row>
    <row r="1437">
      <c r="A1437" s="24"/>
      <c r="B1437" s="24"/>
      <c r="C1437" s="24"/>
      <c r="D1437" s="24"/>
      <c r="E1437" s="25"/>
    </row>
    <row r="1438">
      <c r="A1438" s="24"/>
      <c r="B1438" s="24"/>
      <c r="C1438" s="24"/>
      <c r="D1438" s="24"/>
      <c r="E1438" s="25"/>
    </row>
    <row r="1439">
      <c r="A1439" s="24"/>
      <c r="B1439" s="24"/>
      <c r="C1439" s="24"/>
      <c r="D1439" s="24"/>
      <c r="E1439" s="25"/>
    </row>
    <row r="1440">
      <c r="A1440" s="24"/>
      <c r="B1440" s="24"/>
      <c r="C1440" s="24"/>
      <c r="D1440" s="24"/>
      <c r="E1440" s="25"/>
    </row>
    <row r="1441">
      <c r="A1441" s="24"/>
      <c r="B1441" s="24"/>
      <c r="C1441" s="24"/>
      <c r="D1441" s="24"/>
      <c r="E1441" s="25"/>
    </row>
    <row r="1442">
      <c r="A1442" s="24"/>
      <c r="B1442" s="24"/>
      <c r="C1442" s="24"/>
      <c r="D1442" s="24"/>
      <c r="E1442" s="25"/>
    </row>
    <row r="1443">
      <c r="A1443" s="24"/>
      <c r="B1443" s="24"/>
      <c r="C1443" s="24"/>
      <c r="D1443" s="24"/>
      <c r="E1443" s="25"/>
    </row>
    <row r="1444">
      <c r="A1444" s="24"/>
      <c r="B1444" s="24"/>
      <c r="C1444" s="24"/>
      <c r="D1444" s="24"/>
      <c r="E1444" s="25"/>
    </row>
    <row r="1445">
      <c r="A1445" s="24"/>
      <c r="B1445" s="24"/>
      <c r="C1445" s="24"/>
      <c r="D1445" s="24"/>
      <c r="E1445" s="25"/>
    </row>
    <row r="1446">
      <c r="A1446" s="24"/>
      <c r="B1446" s="24"/>
      <c r="C1446" s="24"/>
      <c r="D1446" s="24"/>
      <c r="E1446" s="25"/>
    </row>
    <row r="1447">
      <c r="A1447" s="24"/>
      <c r="B1447" s="24"/>
      <c r="C1447" s="24"/>
      <c r="D1447" s="24"/>
      <c r="E1447" s="25"/>
    </row>
    <row r="1448">
      <c r="A1448" s="24"/>
      <c r="B1448" s="24"/>
      <c r="C1448" s="24"/>
      <c r="D1448" s="24"/>
      <c r="E1448" s="25"/>
    </row>
    <row r="1449">
      <c r="A1449" s="24"/>
      <c r="B1449" s="24"/>
      <c r="C1449" s="24"/>
      <c r="D1449" s="24"/>
      <c r="E1449" s="25"/>
    </row>
    <row r="1450">
      <c r="A1450" s="24"/>
      <c r="B1450" s="24"/>
      <c r="C1450" s="24"/>
      <c r="D1450" s="24"/>
      <c r="E1450" s="25"/>
    </row>
    <row r="1451">
      <c r="A1451" s="24"/>
      <c r="B1451" s="24"/>
      <c r="C1451" s="24"/>
      <c r="D1451" s="24"/>
      <c r="E1451" s="25"/>
    </row>
    <row r="1452">
      <c r="A1452" s="24"/>
      <c r="B1452" s="24"/>
      <c r="C1452" s="24"/>
      <c r="D1452" s="24"/>
      <c r="E1452" s="25"/>
    </row>
    <row r="1453">
      <c r="A1453" s="24"/>
      <c r="B1453" s="24"/>
      <c r="C1453" s="24"/>
      <c r="D1453" s="24"/>
      <c r="E1453" s="25"/>
    </row>
    <row r="1454">
      <c r="A1454" s="24"/>
      <c r="B1454" s="24"/>
      <c r="C1454" s="24"/>
      <c r="D1454" s="24"/>
      <c r="E1454" s="25"/>
    </row>
    <row r="1455">
      <c r="A1455" s="24"/>
      <c r="B1455" s="24"/>
      <c r="C1455" s="24"/>
      <c r="D1455" s="24"/>
      <c r="E1455" s="25"/>
    </row>
    <row r="1456">
      <c r="A1456" s="24"/>
      <c r="B1456" s="24"/>
      <c r="C1456" s="24"/>
      <c r="D1456" s="24"/>
      <c r="E1456" s="25"/>
    </row>
    <row r="1457">
      <c r="A1457" s="24"/>
      <c r="B1457" s="24"/>
      <c r="C1457" s="24"/>
      <c r="D1457" s="24"/>
      <c r="E1457" s="25"/>
    </row>
    <row r="1458">
      <c r="A1458" s="24"/>
      <c r="B1458" s="24"/>
      <c r="C1458" s="24"/>
      <c r="D1458" s="24"/>
      <c r="E1458" s="25"/>
    </row>
    <row r="1459">
      <c r="A1459" s="24"/>
      <c r="B1459" s="24"/>
      <c r="C1459" s="24"/>
      <c r="D1459" s="24"/>
      <c r="E1459" s="25"/>
    </row>
    <row r="1460">
      <c r="A1460" s="24"/>
      <c r="B1460" s="24"/>
      <c r="C1460" s="24"/>
      <c r="D1460" s="24"/>
      <c r="E1460" s="25"/>
    </row>
    <row r="1461">
      <c r="A1461" s="24"/>
      <c r="B1461" s="24"/>
      <c r="C1461" s="24"/>
      <c r="D1461" s="24"/>
      <c r="E1461" s="25"/>
    </row>
    <row r="1462">
      <c r="A1462" s="24"/>
      <c r="B1462" s="24"/>
      <c r="C1462" s="24"/>
      <c r="D1462" s="24"/>
      <c r="E1462" s="25"/>
    </row>
    <row r="1463">
      <c r="A1463" s="24"/>
      <c r="B1463" s="24"/>
      <c r="C1463" s="24"/>
      <c r="D1463" s="24"/>
      <c r="E1463" s="25"/>
    </row>
    <row r="1464">
      <c r="A1464" s="24"/>
      <c r="B1464" s="24"/>
      <c r="C1464" s="24"/>
      <c r="D1464" s="24"/>
      <c r="E1464" s="25"/>
    </row>
    <row r="1465">
      <c r="A1465" s="24"/>
      <c r="B1465" s="24"/>
      <c r="C1465" s="24"/>
      <c r="D1465" s="24"/>
      <c r="E1465" s="25"/>
    </row>
    <row r="1466">
      <c r="A1466" s="24"/>
      <c r="B1466" s="24"/>
      <c r="C1466" s="24"/>
      <c r="D1466" s="24"/>
      <c r="E1466" s="25"/>
    </row>
    <row r="1467">
      <c r="A1467" s="24"/>
      <c r="B1467" s="24"/>
      <c r="C1467" s="24"/>
      <c r="D1467" s="24"/>
      <c r="E1467" s="25"/>
    </row>
    <row r="1468">
      <c r="A1468" s="24"/>
      <c r="B1468" s="24"/>
      <c r="C1468" s="24"/>
      <c r="D1468" s="24"/>
      <c r="E1468" s="25"/>
    </row>
    <row r="1469">
      <c r="A1469" s="24"/>
      <c r="B1469" s="24"/>
      <c r="C1469" s="24"/>
      <c r="D1469" s="24"/>
      <c r="E1469" s="25"/>
    </row>
    <row r="1470">
      <c r="A1470" s="24"/>
      <c r="B1470" s="24"/>
      <c r="C1470" s="24"/>
      <c r="D1470" s="24"/>
      <c r="E1470" s="25"/>
    </row>
    <row r="1471">
      <c r="A1471" s="24"/>
      <c r="B1471" s="24"/>
      <c r="C1471" s="24"/>
      <c r="D1471" s="24"/>
      <c r="E1471" s="25"/>
    </row>
    <row r="1472">
      <c r="A1472" s="24"/>
      <c r="B1472" s="24"/>
      <c r="C1472" s="24"/>
      <c r="D1472" s="24"/>
      <c r="E1472" s="25"/>
    </row>
    <row r="1473">
      <c r="A1473" s="24"/>
      <c r="B1473" s="24"/>
      <c r="C1473" s="24"/>
      <c r="D1473" s="24"/>
      <c r="E1473" s="25"/>
    </row>
    <row r="1474">
      <c r="A1474" s="24"/>
      <c r="B1474" s="24"/>
      <c r="C1474" s="24"/>
      <c r="D1474" s="24"/>
      <c r="E1474" s="25"/>
    </row>
    <row r="1475">
      <c r="A1475" s="24"/>
      <c r="B1475" s="24"/>
      <c r="C1475" s="24"/>
      <c r="D1475" s="24"/>
      <c r="E1475" s="25"/>
    </row>
    <row r="1476">
      <c r="A1476" s="24"/>
      <c r="B1476" s="24"/>
      <c r="C1476" s="24"/>
      <c r="D1476" s="24"/>
      <c r="E1476" s="25"/>
    </row>
    <row r="1477">
      <c r="A1477" s="24"/>
      <c r="B1477" s="24"/>
      <c r="C1477" s="24"/>
      <c r="D1477" s="24"/>
      <c r="E1477" s="25"/>
    </row>
    <row r="1478">
      <c r="A1478" s="24"/>
      <c r="B1478" s="24"/>
      <c r="C1478" s="24"/>
      <c r="D1478" s="24"/>
      <c r="E1478" s="25"/>
    </row>
    <row r="1479">
      <c r="A1479" s="24"/>
      <c r="B1479" s="24"/>
      <c r="C1479" s="24"/>
      <c r="D1479" s="24"/>
      <c r="E1479" s="25"/>
    </row>
    <row r="1480">
      <c r="A1480" s="24"/>
      <c r="B1480" s="24"/>
      <c r="C1480" s="24"/>
      <c r="D1480" s="24"/>
      <c r="E1480" s="25"/>
    </row>
    <row r="1481">
      <c r="A1481" s="24"/>
      <c r="B1481" s="24"/>
      <c r="C1481" s="24"/>
      <c r="D1481" s="24"/>
      <c r="E1481" s="25"/>
    </row>
    <row r="1482">
      <c r="A1482" s="24"/>
      <c r="B1482" s="24"/>
      <c r="C1482" s="24"/>
      <c r="D1482" s="24"/>
      <c r="E1482" s="25"/>
    </row>
    <row r="1483">
      <c r="A1483" s="24"/>
      <c r="B1483" s="24"/>
      <c r="C1483" s="24"/>
      <c r="D1483" s="24"/>
      <c r="E1483" s="25"/>
    </row>
    <row r="1484">
      <c r="A1484" s="24"/>
      <c r="B1484" s="24"/>
      <c r="C1484" s="24"/>
      <c r="D1484" s="24"/>
      <c r="E1484" s="25"/>
    </row>
    <row r="1485">
      <c r="A1485" s="24"/>
      <c r="B1485" s="24"/>
      <c r="C1485" s="24"/>
      <c r="D1485" s="24"/>
      <c r="E1485" s="25"/>
    </row>
    <row r="1486">
      <c r="A1486" s="24"/>
      <c r="B1486" s="24"/>
      <c r="C1486" s="24"/>
      <c r="D1486" s="24"/>
      <c r="E1486" s="25"/>
    </row>
    <row r="1487">
      <c r="A1487" s="24"/>
      <c r="B1487" s="24"/>
      <c r="C1487" s="24"/>
      <c r="D1487" s="24"/>
      <c r="E1487" s="25"/>
    </row>
    <row r="1488">
      <c r="A1488" s="24"/>
      <c r="B1488" s="24"/>
      <c r="C1488" s="24"/>
      <c r="D1488" s="24"/>
      <c r="E1488" s="25"/>
    </row>
    <row r="1489">
      <c r="A1489" s="24"/>
      <c r="B1489" s="24"/>
      <c r="C1489" s="24"/>
      <c r="D1489" s="24"/>
      <c r="E1489" s="25"/>
    </row>
    <row r="1490">
      <c r="A1490" s="24"/>
      <c r="B1490" s="24"/>
      <c r="C1490" s="24"/>
      <c r="D1490" s="24"/>
      <c r="E1490" s="25"/>
    </row>
    <row r="1491">
      <c r="A1491" s="24"/>
      <c r="B1491" s="24"/>
      <c r="C1491" s="24"/>
      <c r="D1491" s="24"/>
      <c r="E1491" s="25"/>
    </row>
    <row r="1492">
      <c r="A1492" s="24"/>
      <c r="B1492" s="24"/>
      <c r="C1492" s="24"/>
      <c r="D1492" s="24"/>
      <c r="E1492" s="25"/>
    </row>
    <row r="1493">
      <c r="A1493" s="24"/>
      <c r="B1493" s="24"/>
      <c r="C1493" s="24"/>
      <c r="D1493" s="24"/>
      <c r="E1493" s="25"/>
    </row>
    <row r="1494">
      <c r="A1494" s="24"/>
      <c r="B1494" s="24"/>
      <c r="C1494" s="24"/>
      <c r="D1494" s="24"/>
      <c r="E1494" s="25"/>
    </row>
    <row r="1495">
      <c r="A1495" s="24"/>
      <c r="B1495" s="24"/>
      <c r="C1495" s="24"/>
      <c r="D1495" s="24"/>
      <c r="E1495" s="25"/>
    </row>
    <row r="1496">
      <c r="A1496" s="24"/>
      <c r="B1496" s="24"/>
      <c r="C1496" s="24"/>
      <c r="D1496" s="24"/>
      <c r="E1496" s="25"/>
    </row>
    <row r="1497">
      <c r="A1497" s="24"/>
      <c r="B1497" s="24"/>
      <c r="C1497" s="24"/>
      <c r="D1497" s="24"/>
      <c r="E1497" s="25"/>
    </row>
    <row r="1498">
      <c r="A1498" s="24"/>
      <c r="B1498" s="24"/>
      <c r="C1498" s="24"/>
      <c r="D1498" s="24"/>
      <c r="E1498" s="25"/>
    </row>
    <row r="1499">
      <c r="A1499" s="24"/>
      <c r="B1499" s="24"/>
      <c r="C1499" s="24"/>
      <c r="D1499" s="24"/>
      <c r="E1499" s="25"/>
    </row>
    <row r="1500">
      <c r="A1500" s="24"/>
      <c r="B1500" s="24"/>
      <c r="C1500" s="24"/>
      <c r="D1500" s="24"/>
      <c r="E1500" s="25"/>
    </row>
    <row r="1501">
      <c r="A1501" s="24"/>
      <c r="B1501" s="24"/>
      <c r="C1501" s="24"/>
      <c r="D1501" s="24"/>
      <c r="E1501" s="25"/>
    </row>
    <row r="1502">
      <c r="A1502" s="24"/>
      <c r="B1502" s="24"/>
      <c r="C1502" s="24"/>
      <c r="D1502" s="24"/>
      <c r="E1502" s="25"/>
    </row>
    <row r="1503">
      <c r="A1503" s="24"/>
      <c r="B1503" s="24"/>
      <c r="C1503" s="24"/>
      <c r="D1503" s="24"/>
      <c r="E1503" s="25"/>
    </row>
    <row r="1504">
      <c r="A1504" s="24"/>
      <c r="B1504" s="24"/>
      <c r="C1504" s="24"/>
      <c r="D1504" s="24"/>
      <c r="E1504" s="25"/>
    </row>
    <row r="1505">
      <c r="A1505" s="24"/>
      <c r="B1505" s="24"/>
      <c r="C1505" s="24"/>
      <c r="D1505" s="24"/>
      <c r="E1505" s="25"/>
    </row>
    <row r="1506">
      <c r="A1506" s="24"/>
      <c r="B1506" s="24"/>
      <c r="C1506" s="24"/>
      <c r="D1506" s="24"/>
      <c r="E1506" s="25"/>
    </row>
    <row r="1507">
      <c r="A1507" s="24"/>
      <c r="B1507" s="24"/>
      <c r="C1507" s="24"/>
      <c r="D1507" s="24"/>
      <c r="E1507" s="25"/>
    </row>
    <row r="1508">
      <c r="A1508" s="24"/>
      <c r="B1508" s="24"/>
      <c r="C1508" s="24"/>
      <c r="D1508" s="24"/>
      <c r="E1508" s="25"/>
    </row>
    <row r="1509">
      <c r="A1509" s="24"/>
      <c r="B1509" s="24"/>
      <c r="C1509" s="24"/>
      <c r="D1509" s="24"/>
      <c r="E1509" s="25"/>
    </row>
    <row r="1510">
      <c r="A1510" s="24"/>
      <c r="B1510" s="24"/>
      <c r="C1510" s="24"/>
      <c r="D1510" s="24"/>
      <c r="E1510" s="25"/>
    </row>
    <row r="1511">
      <c r="A1511" s="24"/>
      <c r="B1511" s="24"/>
      <c r="C1511" s="24"/>
      <c r="D1511" s="24"/>
      <c r="E1511" s="25"/>
    </row>
    <row r="1512">
      <c r="A1512" s="24"/>
      <c r="B1512" s="24"/>
      <c r="C1512" s="24"/>
      <c r="D1512" s="24"/>
      <c r="E1512" s="25"/>
    </row>
    <row r="1513">
      <c r="A1513" s="24"/>
      <c r="B1513" s="24"/>
      <c r="C1513" s="24"/>
      <c r="D1513" s="24"/>
      <c r="E1513" s="25"/>
    </row>
    <row r="1514">
      <c r="A1514" s="24"/>
      <c r="B1514" s="24"/>
      <c r="C1514" s="24"/>
      <c r="D1514" s="24"/>
      <c r="E1514" s="25"/>
    </row>
    <row r="1515">
      <c r="A1515" s="24"/>
      <c r="B1515" s="24"/>
      <c r="C1515" s="24"/>
      <c r="D1515" s="24"/>
      <c r="E1515" s="25"/>
    </row>
    <row r="1516">
      <c r="A1516" s="24"/>
      <c r="B1516" s="24"/>
      <c r="C1516" s="24"/>
      <c r="D1516" s="24"/>
      <c r="E1516" s="25"/>
    </row>
    <row r="1517">
      <c r="A1517" s="24"/>
      <c r="B1517" s="24"/>
      <c r="C1517" s="24"/>
      <c r="D1517" s="24"/>
      <c r="E1517" s="25"/>
    </row>
    <row r="1518">
      <c r="A1518" s="24"/>
      <c r="B1518" s="24"/>
      <c r="C1518" s="24"/>
      <c r="D1518" s="24"/>
      <c r="E1518" s="25"/>
    </row>
    <row r="1519">
      <c r="A1519" s="24"/>
      <c r="B1519" s="24"/>
      <c r="C1519" s="24"/>
      <c r="D1519" s="24"/>
      <c r="E1519" s="25"/>
    </row>
    <row r="1520">
      <c r="A1520" s="24"/>
      <c r="B1520" s="24"/>
      <c r="C1520" s="24"/>
      <c r="D1520" s="24"/>
      <c r="E1520" s="25"/>
    </row>
    <row r="1521">
      <c r="A1521" s="24"/>
      <c r="B1521" s="24"/>
      <c r="C1521" s="24"/>
      <c r="D1521" s="24"/>
      <c r="E1521" s="25"/>
    </row>
    <row r="1522">
      <c r="A1522" s="24"/>
      <c r="B1522" s="24"/>
      <c r="C1522" s="24"/>
      <c r="D1522" s="24"/>
      <c r="E1522" s="25"/>
    </row>
    <row r="1523">
      <c r="A1523" s="24"/>
      <c r="B1523" s="24"/>
      <c r="C1523" s="24"/>
      <c r="D1523" s="24"/>
      <c r="E1523" s="25"/>
    </row>
    <row r="1524">
      <c r="A1524" s="24"/>
      <c r="B1524" s="24"/>
      <c r="C1524" s="24"/>
      <c r="D1524" s="24"/>
      <c r="E1524" s="25"/>
    </row>
    <row r="1525">
      <c r="A1525" s="24"/>
      <c r="B1525" s="24"/>
      <c r="C1525" s="24"/>
      <c r="D1525" s="24"/>
      <c r="E1525" s="25"/>
    </row>
    <row r="1526">
      <c r="A1526" s="24"/>
      <c r="B1526" s="24"/>
      <c r="C1526" s="24"/>
      <c r="D1526" s="24"/>
      <c r="E1526" s="25"/>
    </row>
    <row r="1527">
      <c r="A1527" s="24"/>
      <c r="B1527" s="24"/>
      <c r="C1527" s="24"/>
      <c r="D1527" s="24"/>
      <c r="E1527" s="25"/>
    </row>
    <row r="1528">
      <c r="A1528" s="24"/>
      <c r="B1528" s="24"/>
      <c r="C1528" s="24"/>
      <c r="D1528" s="24"/>
      <c r="E1528" s="25"/>
    </row>
    <row r="1529">
      <c r="A1529" s="24"/>
      <c r="B1529" s="24"/>
      <c r="C1529" s="24"/>
      <c r="D1529" s="24"/>
      <c r="E1529" s="25"/>
    </row>
    <row r="1530">
      <c r="A1530" s="24"/>
      <c r="B1530" s="24"/>
      <c r="C1530" s="24"/>
      <c r="D1530" s="24"/>
      <c r="E1530" s="25"/>
    </row>
    <row r="1531">
      <c r="A1531" s="24"/>
      <c r="B1531" s="24"/>
      <c r="C1531" s="24"/>
      <c r="D1531" s="24"/>
      <c r="E1531" s="25"/>
    </row>
    <row r="1532">
      <c r="A1532" s="24"/>
      <c r="B1532" s="24"/>
      <c r="C1532" s="24"/>
      <c r="D1532" s="24"/>
      <c r="E1532" s="25"/>
    </row>
    <row r="1533">
      <c r="A1533" s="24"/>
      <c r="B1533" s="24"/>
      <c r="C1533" s="24"/>
      <c r="D1533" s="24"/>
      <c r="E1533" s="25"/>
    </row>
    <row r="1534">
      <c r="A1534" s="24"/>
      <c r="B1534" s="24"/>
      <c r="C1534" s="24"/>
      <c r="D1534" s="24"/>
      <c r="E1534" s="25"/>
    </row>
    <row r="1535">
      <c r="A1535" s="24"/>
      <c r="B1535" s="24"/>
      <c r="C1535" s="24"/>
      <c r="D1535" s="24"/>
      <c r="E1535" s="25"/>
    </row>
    <row r="1536">
      <c r="A1536" s="24"/>
      <c r="B1536" s="24"/>
      <c r="C1536" s="24"/>
      <c r="D1536" s="24"/>
      <c r="E1536" s="25"/>
    </row>
    <row r="1537">
      <c r="A1537" s="24"/>
      <c r="B1537" s="24"/>
      <c r="C1537" s="24"/>
      <c r="D1537" s="24"/>
      <c r="E1537" s="25"/>
    </row>
    <row r="1538">
      <c r="A1538" s="24"/>
      <c r="B1538" s="24"/>
      <c r="C1538" s="24"/>
      <c r="D1538" s="24"/>
      <c r="E1538" s="25"/>
    </row>
    <row r="1539">
      <c r="A1539" s="24"/>
      <c r="B1539" s="24"/>
      <c r="C1539" s="24"/>
      <c r="D1539" s="24"/>
      <c r="E1539" s="25"/>
    </row>
    <row r="1540">
      <c r="A1540" s="24"/>
      <c r="B1540" s="24"/>
      <c r="C1540" s="24"/>
      <c r="D1540" s="24"/>
      <c r="E1540" s="25"/>
    </row>
    <row r="1541">
      <c r="A1541" s="24"/>
      <c r="B1541" s="24"/>
      <c r="C1541" s="24"/>
      <c r="D1541" s="24"/>
      <c r="E1541" s="25"/>
    </row>
    <row r="1542">
      <c r="A1542" s="24"/>
      <c r="B1542" s="24"/>
      <c r="C1542" s="24"/>
      <c r="D1542" s="24"/>
      <c r="E1542" s="25"/>
    </row>
    <row r="1543">
      <c r="A1543" s="24"/>
      <c r="B1543" s="24"/>
      <c r="C1543" s="24"/>
      <c r="D1543" s="24"/>
      <c r="E1543" s="25"/>
    </row>
    <row r="1544">
      <c r="A1544" s="24"/>
      <c r="B1544" s="24"/>
      <c r="C1544" s="24"/>
      <c r="D1544" s="24"/>
      <c r="E1544" s="25"/>
    </row>
    <row r="1545">
      <c r="A1545" s="24"/>
      <c r="B1545" s="24"/>
      <c r="C1545" s="24"/>
      <c r="D1545" s="24"/>
      <c r="E1545" s="25"/>
    </row>
    <row r="1546">
      <c r="A1546" s="24"/>
      <c r="B1546" s="24"/>
      <c r="C1546" s="24"/>
      <c r="D1546" s="24"/>
      <c r="E1546" s="25"/>
    </row>
    <row r="1547">
      <c r="A1547" s="24"/>
      <c r="B1547" s="24"/>
      <c r="C1547" s="24"/>
      <c r="D1547" s="24"/>
      <c r="E1547" s="25"/>
    </row>
    <row r="1548">
      <c r="A1548" s="24"/>
      <c r="B1548" s="24"/>
      <c r="C1548" s="24"/>
      <c r="D1548" s="24"/>
      <c r="E1548" s="25"/>
    </row>
    <row r="1549">
      <c r="A1549" s="24"/>
      <c r="B1549" s="24"/>
      <c r="C1549" s="24"/>
      <c r="D1549" s="24"/>
      <c r="E1549" s="25"/>
    </row>
    <row r="1550">
      <c r="A1550" s="24"/>
      <c r="B1550" s="24"/>
      <c r="C1550" s="24"/>
      <c r="D1550" s="24"/>
      <c r="E1550" s="25"/>
    </row>
    <row r="1551">
      <c r="A1551" s="24"/>
      <c r="B1551" s="24"/>
      <c r="C1551" s="24"/>
      <c r="D1551" s="24"/>
      <c r="E1551" s="25"/>
    </row>
    <row r="1552">
      <c r="A1552" s="24"/>
      <c r="B1552" s="24"/>
      <c r="C1552" s="24"/>
      <c r="D1552" s="24"/>
      <c r="E1552" s="25"/>
    </row>
    <row r="1553">
      <c r="A1553" s="24"/>
      <c r="B1553" s="24"/>
      <c r="C1553" s="24"/>
      <c r="D1553" s="24"/>
      <c r="E1553" s="25"/>
    </row>
    <row r="1554">
      <c r="A1554" s="24"/>
      <c r="B1554" s="24"/>
      <c r="C1554" s="24"/>
      <c r="D1554" s="24"/>
      <c r="E1554" s="25"/>
    </row>
    <row r="1555">
      <c r="A1555" s="24"/>
      <c r="B1555" s="24"/>
      <c r="C1555" s="24"/>
      <c r="D1555" s="24"/>
      <c r="E1555" s="25"/>
    </row>
    <row r="1556">
      <c r="A1556" s="24"/>
      <c r="B1556" s="24"/>
      <c r="C1556" s="24"/>
      <c r="D1556" s="24"/>
      <c r="E1556" s="25"/>
    </row>
    <row r="1557">
      <c r="A1557" s="24"/>
      <c r="B1557" s="24"/>
      <c r="C1557" s="24"/>
      <c r="D1557" s="24"/>
      <c r="E1557" s="25"/>
    </row>
    <row r="1558">
      <c r="A1558" s="24"/>
      <c r="B1558" s="24"/>
      <c r="C1558" s="24"/>
      <c r="D1558" s="24"/>
      <c r="E1558" s="25"/>
    </row>
    <row r="1559">
      <c r="A1559" s="24"/>
      <c r="B1559" s="24"/>
      <c r="C1559" s="24"/>
      <c r="D1559" s="24"/>
      <c r="E1559" s="25"/>
    </row>
    <row r="1560">
      <c r="A1560" s="24"/>
      <c r="B1560" s="24"/>
      <c r="C1560" s="24"/>
      <c r="D1560" s="24"/>
      <c r="E1560" s="25"/>
    </row>
    <row r="1561">
      <c r="A1561" s="24"/>
      <c r="B1561" s="24"/>
      <c r="C1561" s="24"/>
      <c r="D1561" s="24"/>
      <c r="E1561" s="25"/>
    </row>
    <row r="1562">
      <c r="A1562" s="24"/>
      <c r="B1562" s="24"/>
      <c r="C1562" s="24"/>
      <c r="D1562" s="24"/>
      <c r="E1562" s="25"/>
    </row>
    <row r="1563">
      <c r="A1563" s="24"/>
      <c r="B1563" s="24"/>
      <c r="C1563" s="24"/>
      <c r="D1563" s="24"/>
      <c r="E1563" s="25"/>
    </row>
    <row r="1564">
      <c r="A1564" s="24"/>
      <c r="B1564" s="24"/>
      <c r="C1564" s="24"/>
      <c r="D1564" s="24"/>
      <c r="E1564" s="25"/>
    </row>
    <row r="1565">
      <c r="A1565" s="24"/>
      <c r="B1565" s="24"/>
      <c r="C1565" s="24"/>
      <c r="D1565" s="24"/>
      <c r="E1565" s="25"/>
    </row>
    <row r="1566">
      <c r="A1566" s="24"/>
      <c r="B1566" s="24"/>
      <c r="C1566" s="24"/>
      <c r="D1566" s="24"/>
      <c r="E1566" s="25"/>
    </row>
    <row r="1567">
      <c r="A1567" s="24"/>
      <c r="B1567" s="24"/>
      <c r="C1567" s="24"/>
      <c r="D1567" s="24"/>
      <c r="E1567" s="25"/>
    </row>
    <row r="1568">
      <c r="A1568" s="24"/>
      <c r="B1568" s="24"/>
      <c r="C1568" s="24"/>
      <c r="D1568" s="24"/>
      <c r="E1568" s="25"/>
    </row>
    <row r="1569">
      <c r="A1569" s="24"/>
      <c r="B1569" s="24"/>
      <c r="C1569" s="24"/>
      <c r="D1569" s="24"/>
      <c r="E1569" s="25"/>
    </row>
    <row r="1570">
      <c r="A1570" s="24"/>
      <c r="B1570" s="24"/>
      <c r="C1570" s="24"/>
      <c r="D1570" s="24"/>
      <c r="E1570" s="25"/>
    </row>
    <row r="1571">
      <c r="A1571" s="24"/>
      <c r="B1571" s="24"/>
      <c r="C1571" s="24"/>
      <c r="D1571" s="24"/>
      <c r="E1571" s="25"/>
    </row>
    <row r="1572">
      <c r="A1572" s="24"/>
      <c r="B1572" s="24"/>
      <c r="C1572" s="24"/>
      <c r="D1572" s="24"/>
      <c r="E1572" s="25"/>
    </row>
    <row r="1573">
      <c r="A1573" s="24"/>
      <c r="B1573" s="24"/>
      <c r="C1573" s="24"/>
      <c r="D1573" s="24"/>
      <c r="E1573" s="25"/>
    </row>
    <row r="1574">
      <c r="A1574" s="24"/>
      <c r="B1574" s="24"/>
      <c r="C1574" s="24"/>
      <c r="D1574" s="24"/>
      <c r="E1574" s="25"/>
    </row>
    <row r="1575">
      <c r="A1575" s="24"/>
      <c r="B1575" s="24"/>
      <c r="C1575" s="24"/>
      <c r="D1575" s="24"/>
      <c r="E1575" s="25"/>
    </row>
    <row r="1576">
      <c r="A1576" s="24"/>
      <c r="B1576" s="24"/>
      <c r="C1576" s="24"/>
      <c r="D1576" s="24"/>
      <c r="E1576" s="25"/>
    </row>
    <row r="1577">
      <c r="A1577" s="24"/>
      <c r="B1577" s="24"/>
      <c r="C1577" s="24"/>
      <c r="D1577" s="24"/>
      <c r="E1577" s="25"/>
    </row>
    <row r="1578">
      <c r="A1578" s="24"/>
      <c r="B1578" s="24"/>
      <c r="C1578" s="24"/>
      <c r="D1578" s="24"/>
      <c r="E1578" s="25"/>
    </row>
    <row r="1579">
      <c r="A1579" s="24"/>
      <c r="B1579" s="24"/>
      <c r="C1579" s="24"/>
      <c r="D1579" s="24"/>
      <c r="E1579" s="25"/>
    </row>
    <row r="1580">
      <c r="A1580" s="24"/>
      <c r="B1580" s="24"/>
      <c r="C1580" s="24"/>
      <c r="D1580" s="24"/>
      <c r="E1580" s="25"/>
    </row>
    <row r="1581">
      <c r="A1581" s="24"/>
      <c r="B1581" s="24"/>
      <c r="C1581" s="24"/>
      <c r="D1581" s="24"/>
      <c r="E1581" s="25"/>
    </row>
    <row r="1582">
      <c r="A1582" s="24"/>
      <c r="B1582" s="24"/>
      <c r="C1582" s="24"/>
      <c r="D1582" s="24"/>
      <c r="E1582" s="25"/>
    </row>
    <row r="1583">
      <c r="A1583" s="24"/>
      <c r="B1583" s="24"/>
      <c r="C1583" s="24"/>
      <c r="D1583" s="24"/>
      <c r="E1583" s="25"/>
    </row>
    <row r="1584">
      <c r="A1584" s="24"/>
      <c r="B1584" s="24"/>
      <c r="C1584" s="24"/>
      <c r="D1584" s="24"/>
      <c r="E1584" s="25"/>
    </row>
    <row r="1585">
      <c r="A1585" s="24"/>
      <c r="B1585" s="24"/>
      <c r="C1585" s="24"/>
      <c r="D1585" s="24"/>
      <c r="E1585" s="25"/>
    </row>
    <row r="1586">
      <c r="A1586" s="24"/>
      <c r="B1586" s="24"/>
      <c r="C1586" s="24"/>
      <c r="D1586" s="24"/>
      <c r="E1586" s="25"/>
    </row>
    <row r="1587">
      <c r="A1587" s="24"/>
      <c r="B1587" s="24"/>
      <c r="C1587" s="24"/>
      <c r="D1587" s="24"/>
      <c r="E1587" s="25"/>
    </row>
    <row r="1588">
      <c r="A1588" s="24"/>
      <c r="B1588" s="24"/>
      <c r="C1588" s="24"/>
      <c r="D1588" s="24"/>
      <c r="E1588" s="25"/>
    </row>
    <row r="1589">
      <c r="A1589" s="24"/>
      <c r="B1589" s="24"/>
      <c r="C1589" s="24"/>
      <c r="D1589" s="24"/>
      <c r="E1589" s="25"/>
    </row>
    <row r="1590">
      <c r="A1590" s="24"/>
      <c r="B1590" s="24"/>
      <c r="C1590" s="24"/>
      <c r="D1590" s="24"/>
      <c r="E1590" s="25"/>
    </row>
    <row r="1591">
      <c r="A1591" s="24"/>
      <c r="B1591" s="24"/>
      <c r="C1591" s="24"/>
      <c r="D1591" s="24"/>
      <c r="E1591" s="25"/>
    </row>
    <row r="1592">
      <c r="A1592" s="24"/>
      <c r="B1592" s="24"/>
      <c r="C1592" s="24"/>
      <c r="D1592" s="24"/>
      <c r="E1592" s="25"/>
    </row>
    <row r="1593">
      <c r="A1593" s="24"/>
      <c r="B1593" s="24"/>
      <c r="C1593" s="24"/>
      <c r="D1593" s="24"/>
      <c r="E1593" s="25"/>
    </row>
    <row r="1594">
      <c r="A1594" s="24"/>
      <c r="B1594" s="24"/>
      <c r="C1594" s="24"/>
      <c r="D1594" s="24"/>
      <c r="E1594" s="25"/>
    </row>
    <row r="1595">
      <c r="A1595" s="24"/>
      <c r="B1595" s="24"/>
      <c r="C1595" s="24"/>
      <c r="D1595" s="24"/>
      <c r="E1595" s="25"/>
    </row>
    <row r="1596">
      <c r="A1596" s="24"/>
      <c r="B1596" s="24"/>
      <c r="C1596" s="24"/>
      <c r="D1596" s="24"/>
      <c r="E1596" s="25"/>
    </row>
    <row r="1597">
      <c r="A1597" s="24"/>
      <c r="B1597" s="24"/>
      <c r="C1597" s="24"/>
      <c r="D1597" s="24"/>
      <c r="E1597" s="25"/>
    </row>
    <row r="1598">
      <c r="A1598" s="24"/>
      <c r="B1598" s="24"/>
      <c r="C1598" s="24"/>
      <c r="D1598" s="24"/>
      <c r="E1598" s="25"/>
    </row>
    <row r="1599">
      <c r="A1599" s="24"/>
      <c r="B1599" s="24"/>
      <c r="C1599" s="24"/>
      <c r="D1599" s="24"/>
      <c r="E1599" s="25"/>
    </row>
    <row r="1600">
      <c r="A1600" s="24"/>
      <c r="B1600" s="24"/>
      <c r="C1600" s="24"/>
      <c r="D1600" s="24"/>
      <c r="E1600" s="25"/>
    </row>
    <row r="1601">
      <c r="A1601" s="24"/>
      <c r="B1601" s="24"/>
      <c r="C1601" s="24"/>
      <c r="D1601" s="24"/>
      <c r="E1601" s="25"/>
    </row>
    <row r="1602">
      <c r="A1602" s="24"/>
      <c r="B1602" s="24"/>
      <c r="C1602" s="24"/>
      <c r="D1602" s="24"/>
      <c r="E1602" s="25"/>
    </row>
    <row r="1603">
      <c r="A1603" s="24"/>
      <c r="B1603" s="24"/>
      <c r="C1603" s="24"/>
      <c r="D1603" s="24"/>
      <c r="E1603" s="25"/>
    </row>
    <row r="1604">
      <c r="A1604" s="24"/>
      <c r="B1604" s="24"/>
      <c r="C1604" s="24"/>
      <c r="D1604" s="24"/>
      <c r="E1604" s="25"/>
    </row>
    <row r="1605">
      <c r="A1605" s="24"/>
      <c r="B1605" s="24"/>
      <c r="C1605" s="24"/>
      <c r="D1605" s="24"/>
      <c r="E1605" s="25"/>
    </row>
    <row r="1606">
      <c r="A1606" s="24"/>
      <c r="B1606" s="24"/>
      <c r="C1606" s="24"/>
      <c r="D1606" s="24"/>
      <c r="E1606" s="25"/>
    </row>
    <row r="1607">
      <c r="A1607" s="24"/>
      <c r="B1607" s="24"/>
      <c r="C1607" s="24"/>
      <c r="D1607" s="24"/>
      <c r="E1607" s="25"/>
    </row>
    <row r="1608">
      <c r="A1608" s="24"/>
      <c r="B1608" s="24"/>
      <c r="C1608" s="24"/>
      <c r="D1608" s="24"/>
      <c r="E1608" s="25"/>
    </row>
    <row r="1609">
      <c r="A1609" s="24"/>
      <c r="B1609" s="24"/>
      <c r="C1609" s="24"/>
      <c r="D1609" s="24"/>
      <c r="E1609" s="25"/>
    </row>
    <row r="1610">
      <c r="A1610" s="24"/>
      <c r="B1610" s="24"/>
      <c r="C1610" s="24"/>
      <c r="D1610" s="24"/>
      <c r="E1610" s="25"/>
    </row>
    <row r="1611">
      <c r="A1611" s="24"/>
      <c r="B1611" s="24"/>
      <c r="C1611" s="24"/>
      <c r="D1611" s="24"/>
      <c r="E1611" s="25"/>
    </row>
    <row r="1612">
      <c r="A1612" s="24"/>
      <c r="B1612" s="24"/>
      <c r="C1612" s="24"/>
      <c r="D1612" s="24"/>
      <c r="E1612" s="25"/>
    </row>
    <row r="1613">
      <c r="A1613" s="24"/>
      <c r="B1613" s="24"/>
      <c r="C1613" s="24"/>
      <c r="D1613" s="24"/>
      <c r="E1613" s="25"/>
    </row>
    <row r="1614">
      <c r="A1614" s="24"/>
      <c r="B1614" s="24"/>
      <c r="C1614" s="24"/>
      <c r="D1614" s="24"/>
      <c r="E1614" s="25"/>
    </row>
    <row r="1615">
      <c r="A1615" s="24"/>
      <c r="B1615" s="24"/>
      <c r="C1615" s="24"/>
      <c r="D1615" s="24"/>
      <c r="E1615" s="25"/>
    </row>
    <row r="1616">
      <c r="A1616" s="24"/>
      <c r="B1616" s="24"/>
      <c r="C1616" s="24"/>
      <c r="D1616" s="24"/>
      <c r="E1616" s="25"/>
    </row>
    <row r="1617">
      <c r="A1617" s="24"/>
      <c r="B1617" s="24"/>
      <c r="C1617" s="24"/>
      <c r="D1617" s="24"/>
      <c r="E1617" s="25"/>
    </row>
    <row r="1618">
      <c r="A1618" s="24"/>
      <c r="B1618" s="24"/>
      <c r="C1618" s="24"/>
      <c r="D1618" s="24"/>
      <c r="E1618" s="25"/>
    </row>
    <row r="1619">
      <c r="A1619" s="24"/>
      <c r="B1619" s="24"/>
      <c r="C1619" s="24"/>
      <c r="D1619" s="24"/>
      <c r="E1619" s="25"/>
    </row>
    <row r="1620">
      <c r="A1620" s="24"/>
      <c r="B1620" s="24"/>
      <c r="C1620" s="24"/>
      <c r="D1620" s="24"/>
      <c r="E1620" s="25"/>
    </row>
    <row r="1621">
      <c r="A1621" s="24"/>
      <c r="B1621" s="24"/>
      <c r="C1621" s="24"/>
      <c r="D1621" s="24"/>
      <c r="E1621" s="25"/>
    </row>
    <row r="1622">
      <c r="A1622" s="24"/>
      <c r="B1622" s="24"/>
      <c r="C1622" s="24"/>
      <c r="D1622" s="24"/>
      <c r="E1622" s="25"/>
    </row>
    <row r="1623">
      <c r="A1623" s="24"/>
      <c r="B1623" s="24"/>
      <c r="C1623" s="24"/>
      <c r="D1623" s="24"/>
      <c r="E1623" s="25"/>
    </row>
    <row r="1624">
      <c r="A1624" s="24"/>
      <c r="B1624" s="24"/>
      <c r="C1624" s="24"/>
      <c r="D1624" s="24"/>
      <c r="E1624" s="25"/>
    </row>
    <row r="1625">
      <c r="A1625" s="24"/>
      <c r="B1625" s="24"/>
      <c r="C1625" s="24"/>
      <c r="D1625" s="24"/>
      <c r="E1625" s="25"/>
    </row>
    <row r="1626">
      <c r="A1626" s="24"/>
      <c r="B1626" s="24"/>
      <c r="C1626" s="24"/>
      <c r="D1626" s="24"/>
      <c r="E1626" s="25"/>
    </row>
    <row r="1627">
      <c r="A1627" s="24"/>
      <c r="B1627" s="24"/>
      <c r="C1627" s="24"/>
      <c r="D1627" s="24"/>
      <c r="E1627" s="25"/>
    </row>
    <row r="1628">
      <c r="A1628" s="24"/>
      <c r="B1628" s="24"/>
      <c r="C1628" s="24"/>
      <c r="D1628" s="24"/>
      <c r="E1628" s="25"/>
    </row>
    <row r="1629">
      <c r="A1629" s="24"/>
      <c r="B1629" s="24"/>
      <c r="C1629" s="24"/>
      <c r="D1629" s="24"/>
      <c r="E1629" s="25"/>
    </row>
    <row r="1630">
      <c r="A1630" s="24"/>
      <c r="B1630" s="24"/>
      <c r="C1630" s="24"/>
      <c r="D1630" s="24"/>
      <c r="E1630" s="25"/>
    </row>
    <row r="1631">
      <c r="A1631" s="24"/>
      <c r="B1631" s="24"/>
      <c r="C1631" s="24"/>
      <c r="D1631" s="24"/>
      <c r="E1631" s="25"/>
    </row>
    <row r="1632">
      <c r="A1632" s="24"/>
      <c r="B1632" s="24"/>
      <c r="C1632" s="24"/>
      <c r="D1632" s="24"/>
      <c r="E1632" s="25"/>
    </row>
    <row r="1633">
      <c r="A1633" s="24"/>
      <c r="B1633" s="24"/>
      <c r="C1633" s="24"/>
      <c r="D1633" s="24"/>
      <c r="E1633" s="25"/>
    </row>
    <row r="1634">
      <c r="A1634" s="24"/>
      <c r="B1634" s="24"/>
      <c r="C1634" s="24"/>
      <c r="D1634" s="24"/>
      <c r="E1634" s="25"/>
    </row>
    <row r="1635">
      <c r="A1635" s="24"/>
      <c r="B1635" s="24"/>
      <c r="C1635" s="24"/>
      <c r="D1635" s="24"/>
      <c r="E1635" s="25"/>
    </row>
    <row r="1636">
      <c r="A1636" s="24"/>
      <c r="B1636" s="24"/>
      <c r="C1636" s="24"/>
      <c r="D1636" s="24"/>
      <c r="E1636" s="25"/>
    </row>
    <row r="1637">
      <c r="A1637" s="24"/>
      <c r="B1637" s="24"/>
      <c r="C1637" s="24"/>
      <c r="D1637" s="24"/>
      <c r="E1637" s="25"/>
    </row>
    <row r="1638">
      <c r="A1638" s="24"/>
      <c r="B1638" s="24"/>
      <c r="C1638" s="24"/>
      <c r="D1638" s="24"/>
      <c r="E1638" s="25"/>
    </row>
    <row r="1639">
      <c r="A1639" s="24"/>
      <c r="B1639" s="24"/>
      <c r="C1639" s="24"/>
      <c r="D1639" s="24"/>
      <c r="E1639" s="25"/>
    </row>
    <row r="1640">
      <c r="A1640" s="24"/>
      <c r="B1640" s="24"/>
      <c r="C1640" s="24"/>
      <c r="D1640" s="24"/>
      <c r="E1640" s="25"/>
    </row>
    <row r="1641">
      <c r="A1641" s="24"/>
      <c r="B1641" s="24"/>
      <c r="C1641" s="24"/>
      <c r="D1641" s="24"/>
      <c r="E1641" s="25"/>
    </row>
    <row r="1642">
      <c r="A1642" s="24"/>
      <c r="B1642" s="24"/>
      <c r="C1642" s="24"/>
      <c r="D1642" s="24"/>
      <c r="E1642" s="25"/>
    </row>
    <row r="1643">
      <c r="A1643" s="24"/>
      <c r="B1643" s="24"/>
      <c r="C1643" s="24"/>
      <c r="D1643" s="24"/>
      <c r="E1643" s="25"/>
    </row>
    <row r="1644">
      <c r="A1644" s="24"/>
      <c r="B1644" s="24"/>
      <c r="C1644" s="24"/>
      <c r="D1644" s="24"/>
      <c r="E1644" s="25"/>
    </row>
    <row r="1645">
      <c r="A1645" s="24"/>
      <c r="B1645" s="24"/>
      <c r="C1645" s="24"/>
      <c r="D1645" s="24"/>
      <c r="E1645" s="25"/>
    </row>
    <row r="1646">
      <c r="A1646" s="24"/>
      <c r="B1646" s="24"/>
      <c r="C1646" s="24"/>
      <c r="D1646" s="24"/>
      <c r="E1646" s="25"/>
    </row>
    <row r="1647">
      <c r="A1647" s="24"/>
      <c r="B1647" s="24"/>
      <c r="C1647" s="24"/>
      <c r="D1647" s="24"/>
      <c r="E1647" s="25"/>
    </row>
    <row r="1648">
      <c r="A1648" s="24"/>
      <c r="B1648" s="24"/>
      <c r="C1648" s="24"/>
      <c r="D1648" s="24"/>
      <c r="E1648" s="25"/>
    </row>
    <row r="1649">
      <c r="A1649" s="24"/>
      <c r="B1649" s="24"/>
      <c r="C1649" s="24"/>
      <c r="D1649" s="24"/>
      <c r="E1649" s="25"/>
    </row>
    <row r="1650">
      <c r="A1650" s="24"/>
      <c r="B1650" s="24"/>
      <c r="C1650" s="24"/>
      <c r="D1650" s="24"/>
      <c r="E1650" s="25"/>
    </row>
    <row r="1651">
      <c r="A1651" s="24"/>
      <c r="B1651" s="24"/>
      <c r="C1651" s="24"/>
      <c r="D1651" s="24"/>
      <c r="E1651" s="25"/>
    </row>
    <row r="1652">
      <c r="A1652" s="24"/>
      <c r="B1652" s="24"/>
      <c r="C1652" s="24"/>
      <c r="D1652" s="24"/>
      <c r="E1652" s="25"/>
    </row>
    <row r="1653">
      <c r="A1653" s="24"/>
      <c r="B1653" s="24"/>
      <c r="C1653" s="24"/>
      <c r="D1653" s="24"/>
      <c r="E1653" s="25"/>
    </row>
    <row r="1654">
      <c r="A1654" s="24"/>
      <c r="B1654" s="24"/>
      <c r="C1654" s="24"/>
      <c r="D1654" s="24"/>
      <c r="E1654" s="25"/>
    </row>
    <row r="1655">
      <c r="A1655" s="24"/>
      <c r="B1655" s="24"/>
      <c r="C1655" s="24"/>
      <c r="D1655" s="24"/>
      <c r="E1655" s="25"/>
    </row>
    <row r="1656">
      <c r="A1656" s="24"/>
      <c r="B1656" s="24"/>
      <c r="C1656" s="24"/>
      <c r="D1656" s="24"/>
      <c r="E1656" s="25"/>
    </row>
    <row r="1657">
      <c r="A1657" s="24"/>
      <c r="B1657" s="24"/>
      <c r="C1657" s="24"/>
      <c r="D1657" s="24"/>
      <c r="E1657" s="25"/>
    </row>
    <row r="1658">
      <c r="A1658" s="24"/>
      <c r="B1658" s="24"/>
      <c r="C1658" s="24"/>
      <c r="D1658" s="24"/>
      <c r="E1658" s="25"/>
    </row>
    <row r="1659">
      <c r="A1659" s="24"/>
      <c r="B1659" s="24"/>
      <c r="C1659" s="24"/>
      <c r="D1659" s="24"/>
      <c r="E1659" s="25"/>
    </row>
    <row r="1660">
      <c r="A1660" s="24"/>
      <c r="B1660" s="24"/>
      <c r="C1660" s="24"/>
      <c r="D1660" s="24"/>
      <c r="E1660" s="25"/>
    </row>
    <row r="1661">
      <c r="A1661" s="24"/>
      <c r="B1661" s="24"/>
      <c r="C1661" s="24"/>
      <c r="D1661" s="24"/>
      <c r="E1661" s="25"/>
    </row>
    <row r="1662">
      <c r="A1662" s="24"/>
      <c r="B1662" s="24"/>
      <c r="C1662" s="24"/>
      <c r="D1662" s="24"/>
      <c r="E1662" s="25"/>
    </row>
    <row r="1663">
      <c r="A1663" s="24"/>
      <c r="B1663" s="24"/>
      <c r="C1663" s="24"/>
      <c r="D1663" s="24"/>
      <c r="E1663" s="25"/>
    </row>
    <row r="1664">
      <c r="A1664" s="24"/>
      <c r="B1664" s="24"/>
      <c r="C1664" s="24"/>
      <c r="D1664" s="24"/>
      <c r="E1664" s="25"/>
    </row>
    <row r="1665">
      <c r="A1665" s="24"/>
      <c r="B1665" s="24"/>
      <c r="C1665" s="24"/>
      <c r="D1665" s="24"/>
      <c r="E1665" s="25"/>
    </row>
    <row r="1666">
      <c r="A1666" s="24"/>
      <c r="B1666" s="24"/>
      <c r="C1666" s="24"/>
      <c r="D1666" s="24"/>
      <c r="E1666" s="25"/>
    </row>
    <row r="1667">
      <c r="A1667" s="24"/>
      <c r="B1667" s="24"/>
      <c r="C1667" s="24"/>
      <c r="D1667" s="24"/>
      <c r="E1667" s="25"/>
    </row>
    <row r="1668">
      <c r="A1668" s="24"/>
      <c r="B1668" s="24"/>
      <c r="C1668" s="24"/>
      <c r="D1668" s="24"/>
      <c r="E1668" s="25"/>
    </row>
    <row r="1669">
      <c r="A1669" s="24"/>
      <c r="B1669" s="24"/>
      <c r="C1669" s="24"/>
      <c r="D1669" s="24"/>
      <c r="E1669" s="25"/>
    </row>
    <row r="1670">
      <c r="A1670" s="24"/>
      <c r="B1670" s="24"/>
      <c r="C1670" s="24"/>
      <c r="D1670" s="24"/>
      <c r="E1670" s="25"/>
    </row>
    <row r="1671">
      <c r="A1671" s="24"/>
      <c r="B1671" s="24"/>
      <c r="C1671" s="24"/>
      <c r="D1671" s="24"/>
      <c r="E1671" s="25"/>
    </row>
    <row r="1672">
      <c r="A1672" s="24"/>
      <c r="B1672" s="24"/>
      <c r="C1672" s="24"/>
      <c r="D1672" s="24"/>
      <c r="E1672" s="25"/>
    </row>
    <row r="1673">
      <c r="A1673" s="24"/>
      <c r="B1673" s="24"/>
      <c r="C1673" s="24"/>
      <c r="D1673" s="24"/>
      <c r="E1673" s="25"/>
    </row>
    <row r="1674">
      <c r="A1674" s="24"/>
      <c r="B1674" s="24"/>
      <c r="C1674" s="24"/>
      <c r="D1674" s="24"/>
      <c r="E1674" s="25"/>
    </row>
    <row r="1675">
      <c r="A1675" s="24"/>
      <c r="B1675" s="24"/>
      <c r="C1675" s="24"/>
      <c r="D1675" s="24"/>
      <c r="E1675" s="25"/>
    </row>
    <row r="1676">
      <c r="A1676" s="24"/>
      <c r="B1676" s="24"/>
      <c r="C1676" s="24"/>
      <c r="D1676" s="24"/>
      <c r="E1676" s="25"/>
    </row>
    <row r="1677">
      <c r="A1677" s="24"/>
      <c r="B1677" s="24"/>
      <c r="C1677" s="24"/>
      <c r="D1677" s="24"/>
      <c r="E1677" s="25"/>
    </row>
    <row r="1678">
      <c r="A1678" s="24"/>
      <c r="B1678" s="24"/>
      <c r="C1678" s="24"/>
      <c r="D1678" s="24"/>
      <c r="E1678" s="25"/>
    </row>
    <row r="1679">
      <c r="A1679" s="24"/>
      <c r="B1679" s="24"/>
      <c r="C1679" s="24"/>
      <c r="D1679" s="24"/>
      <c r="E1679" s="25"/>
    </row>
    <row r="1680">
      <c r="A1680" s="24"/>
      <c r="B1680" s="24"/>
      <c r="C1680" s="24"/>
      <c r="D1680" s="24"/>
      <c r="E1680" s="25"/>
    </row>
    <row r="1681">
      <c r="A1681" s="24"/>
      <c r="B1681" s="24"/>
      <c r="C1681" s="24"/>
      <c r="D1681" s="24"/>
      <c r="E1681" s="25"/>
    </row>
    <row r="1682">
      <c r="A1682" s="24"/>
      <c r="B1682" s="24"/>
      <c r="C1682" s="24"/>
      <c r="D1682" s="24"/>
      <c r="E1682" s="25"/>
    </row>
    <row r="1683">
      <c r="A1683" s="24"/>
      <c r="B1683" s="24"/>
      <c r="C1683" s="24"/>
      <c r="D1683" s="24"/>
      <c r="E1683" s="25"/>
    </row>
    <row r="1684">
      <c r="A1684" s="24"/>
      <c r="B1684" s="24"/>
      <c r="C1684" s="24"/>
      <c r="D1684" s="24"/>
      <c r="E1684" s="25"/>
    </row>
    <row r="1685">
      <c r="A1685" s="24"/>
      <c r="B1685" s="24"/>
      <c r="C1685" s="24"/>
      <c r="D1685" s="24"/>
      <c r="E1685" s="25"/>
    </row>
    <row r="1686">
      <c r="A1686" s="24"/>
      <c r="B1686" s="24"/>
      <c r="C1686" s="24"/>
      <c r="D1686" s="24"/>
      <c r="E1686" s="25"/>
    </row>
    <row r="1687">
      <c r="A1687" s="24"/>
      <c r="B1687" s="24"/>
      <c r="C1687" s="24"/>
      <c r="D1687" s="24"/>
      <c r="E1687" s="25"/>
    </row>
    <row r="1688">
      <c r="A1688" s="24"/>
      <c r="B1688" s="24"/>
      <c r="C1688" s="24"/>
      <c r="D1688" s="24"/>
      <c r="E1688" s="25"/>
    </row>
    <row r="1689">
      <c r="A1689" s="24"/>
      <c r="B1689" s="24"/>
      <c r="C1689" s="24"/>
      <c r="D1689" s="24"/>
      <c r="E1689" s="25"/>
    </row>
    <row r="1690">
      <c r="A1690" s="24"/>
      <c r="B1690" s="24"/>
      <c r="C1690" s="24"/>
      <c r="D1690" s="24"/>
      <c r="E1690" s="25"/>
    </row>
    <row r="1691">
      <c r="A1691" s="24"/>
      <c r="B1691" s="24"/>
      <c r="C1691" s="24"/>
      <c r="D1691" s="24"/>
      <c r="E1691" s="25"/>
    </row>
    <row r="1692">
      <c r="A1692" s="24"/>
      <c r="B1692" s="24"/>
      <c r="C1692" s="24"/>
      <c r="D1692" s="24"/>
      <c r="E1692" s="25"/>
    </row>
    <row r="1693">
      <c r="A1693" s="24"/>
      <c r="B1693" s="24"/>
      <c r="C1693" s="24"/>
      <c r="D1693" s="24"/>
      <c r="E1693" s="25"/>
    </row>
    <row r="1694">
      <c r="A1694" s="24"/>
      <c r="B1694" s="24"/>
      <c r="C1694" s="24"/>
      <c r="D1694" s="24"/>
      <c r="E1694" s="25"/>
    </row>
    <row r="1695">
      <c r="A1695" s="24"/>
      <c r="B1695" s="24"/>
      <c r="C1695" s="24"/>
      <c r="D1695" s="24"/>
      <c r="E1695" s="25"/>
    </row>
    <row r="1696">
      <c r="A1696" s="24"/>
      <c r="B1696" s="24"/>
      <c r="C1696" s="24"/>
      <c r="D1696" s="24"/>
      <c r="E1696" s="25"/>
    </row>
    <row r="1697">
      <c r="A1697" s="24"/>
      <c r="B1697" s="24"/>
      <c r="C1697" s="24"/>
      <c r="D1697" s="24"/>
      <c r="E1697" s="25"/>
    </row>
    <row r="1698">
      <c r="A1698" s="24"/>
      <c r="B1698" s="24"/>
      <c r="C1698" s="24"/>
      <c r="D1698" s="24"/>
      <c r="E1698" s="25"/>
    </row>
    <row r="1699">
      <c r="A1699" s="24"/>
      <c r="B1699" s="24"/>
      <c r="C1699" s="24"/>
      <c r="D1699" s="24"/>
      <c r="E1699" s="25"/>
    </row>
    <row r="1700">
      <c r="A1700" s="24"/>
      <c r="B1700" s="24"/>
      <c r="C1700" s="24"/>
      <c r="D1700" s="24"/>
      <c r="E1700" s="25"/>
    </row>
    <row r="1701">
      <c r="A1701" s="24"/>
      <c r="B1701" s="24"/>
      <c r="C1701" s="24"/>
      <c r="D1701" s="24"/>
      <c r="E1701" s="25"/>
    </row>
    <row r="1702">
      <c r="A1702" s="24"/>
      <c r="B1702" s="24"/>
      <c r="C1702" s="24"/>
      <c r="D1702" s="24"/>
      <c r="E1702" s="25"/>
    </row>
    <row r="1703">
      <c r="A1703" s="24"/>
      <c r="B1703" s="24"/>
      <c r="C1703" s="24"/>
      <c r="D1703" s="24"/>
      <c r="E1703" s="25"/>
    </row>
    <row r="1704">
      <c r="A1704" s="24"/>
      <c r="B1704" s="24"/>
      <c r="C1704" s="24"/>
      <c r="D1704" s="24"/>
      <c r="E1704" s="25"/>
    </row>
    <row r="1705">
      <c r="A1705" s="24"/>
      <c r="B1705" s="24"/>
      <c r="C1705" s="24"/>
      <c r="D1705" s="24"/>
      <c r="E1705" s="25"/>
    </row>
    <row r="1706">
      <c r="A1706" s="24"/>
      <c r="B1706" s="24"/>
      <c r="C1706" s="24"/>
      <c r="D1706" s="24"/>
      <c r="E1706" s="25"/>
    </row>
    <row r="1707">
      <c r="A1707" s="24"/>
      <c r="B1707" s="24"/>
      <c r="C1707" s="24"/>
      <c r="D1707" s="24"/>
      <c r="E1707" s="25"/>
    </row>
    <row r="1708">
      <c r="A1708" s="24"/>
      <c r="B1708" s="24"/>
      <c r="C1708" s="24"/>
      <c r="D1708" s="24"/>
      <c r="E1708" s="25"/>
    </row>
    <row r="1709">
      <c r="A1709" s="24"/>
      <c r="B1709" s="24"/>
      <c r="C1709" s="24"/>
      <c r="D1709" s="24"/>
      <c r="E1709" s="25"/>
    </row>
    <row r="1710">
      <c r="A1710" s="24"/>
      <c r="B1710" s="24"/>
      <c r="C1710" s="24"/>
      <c r="D1710" s="24"/>
      <c r="E1710" s="25"/>
    </row>
    <row r="1711">
      <c r="A1711" s="24"/>
      <c r="B1711" s="24"/>
      <c r="C1711" s="24"/>
      <c r="D1711" s="24"/>
      <c r="E1711" s="25"/>
    </row>
    <row r="1712">
      <c r="A1712" s="24"/>
      <c r="B1712" s="24"/>
      <c r="C1712" s="24"/>
      <c r="D1712" s="24"/>
      <c r="E1712" s="25"/>
    </row>
    <row r="1713">
      <c r="A1713" s="24"/>
      <c r="B1713" s="24"/>
      <c r="C1713" s="24"/>
      <c r="D1713" s="24"/>
      <c r="E1713" s="25"/>
    </row>
    <row r="1714">
      <c r="A1714" s="24"/>
      <c r="B1714" s="24"/>
      <c r="C1714" s="24"/>
      <c r="D1714" s="24"/>
      <c r="E1714" s="25"/>
    </row>
    <row r="1715">
      <c r="A1715" s="24"/>
      <c r="B1715" s="24"/>
      <c r="C1715" s="24"/>
      <c r="D1715" s="24"/>
      <c r="E1715" s="25"/>
    </row>
    <row r="1716">
      <c r="A1716" s="24"/>
      <c r="B1716" s="24"/>
      <c r="C1716" s="24"/>
      <c r="D1716" s="24"/>
      <c r="E1716" s="25"/>
    </row>
    <row r="1717">
      <c r="A1717" s="24"/>
      <c r="B1717" s="24"/>
      <c r="C1717" s="24"/>
      <c r="D1717" s="24"/>
      <c r="E1717" s="25"/>
    </row>
    <row r="1718">
      <c r="A1718" s="24"/>
      <c r="B1718" s="24"/>
      <c r="C1718" s="24"/>
      <c r="D1718" s="24"/>
      <c r="E1718" s="25"/>
    </row>
    <row r="1719">
      <c r="A1719" s="24"/>
      <c r="B1719" s="24"/>
      <c r="C1719" s="24"/>
      <c r="D1719" s="24"/>
      <c r="E1719" s="25"/>
    </row>
    <row r="1720">
      <c r="A1720" s="24"/>
      <c r="B1720" s="24"/>
      <c r="C1720" s="24"/>
      <c r="D1720" s="24"/>
      <c r="E1720" s="25"/>
    </row>
    <row r="1721">
      <c r="A1721" s="24"/>
      <c r="B1721" s="24"/>
      <c r="C1721" s="24"/>
      <c r="D1721" s="24"/>
      <c r="E1721" s="25"/>
    </row>
    <row r="1722">
      <c r="A1722" s="24"/>
      <c r="B1722" s="24"/>
      <c r="C1722" s="24"/>
      <c r="D1722" s="24"/>
      <c r="E1722" s="25"/>
    </row>
    <row r="1723">
      <c r="A1723" s="24"/>
      <c r="B1723" s="24"/>
      <c r="C1723" s="24"/>
      <c r="D1723" s="24"/>
      <c r="E1723" s="25"/>
    </row>
    <row r="1724">
      <c r="A1724" s="24"/>
      <c r="B1724" s="24"/>
      <c r="C1724" s="24"/>
      <c r="D1724" s="24"/>
      <c r="E1724" s="25"/>
    </row>
    <row r="1725">
      <c r="A1725" s="24"/>
      <c r="B1725" s="24"/>
      <c r="C1725" s="24"/>
      <c r="D1725" s="24"/>
      <c r="E1725" s="25"/>
    </row>
    <row r="1726">
      <c r="A1726" s="24"/>
      <c r="B1726" s="24"/>
      <c r="C1726" s="24"/>
      <c r="D1726" s="24"/>
      <c r="E1726" s="25"/>
    </row>
    <row r="1727">
      <c r="A1727" s="24"/>
      <c r="B1727" s="24"/>
      <c r="C1727" s="24"/>
      <c r="D1727" s="24"/>
      <c r="E1727" s="25"/>
    </row>
    <row r="1728">
      <c r="A1728" s="24"/>
      <c r="B1728" s="24"/>
      <c r="C1728" s="24"/>
      <c r="D1728" s="24"/>
      <c r="E1728" s="25"/>
    </row>
    <row r="1729">
      <c r="A1729" s="24"/>
      <c r="B1729" s="24"/>
      <c r="C1729" s="24"/>
      <c r="D1729" s="24"/>
      <c r="E1729" s="25"/>
    </row>
    <row r="1730">
      <c r="A1730" s="24"/>
      <c r="B1730" s="24"/>
      <c r="C1730" s="24"/>
      <c r="D1730" s="24"/>
      <c r="E1730" s="25"/>
    </row>
    <row r="1731">
      <c r="A1731" s="24"/>
      <c r="B1731" s="24"/>
      <c r="C1731" s="24"/>
      <c r="D1731" s="24"/>
      <c r="E1731" s="25"/>
    </row>
    <row r="1732">
      <c r="A1732" s="24"/>
      <c r="B1732" s="24"/>
      <c r="C1732" s="24"/>
      <c r="D1732" s="24"/>
      <c r="E1732" s="25"/>
    </row>
    <row r="1733">
      <c r="A1733" s="24"/>
      <c r="B1733" s="24"/>
      <c r="C1733" s="24"/>
      <c r="D1733" s="24"/>
      <c r="E1733" s="25"/>
    </row>
    <row r="1734">
      <c r="A1734" s="24"/>
      <c r="B1734" s="24"/>
      <c r="C1734" s="24"/>
      <c r="D1734" s="24"/>
      <c r="E1734" s="25"/>
    </row>
    <row r="1735">
      <c r="A1735" s="24"/>
      <c r="B1735" s="24"/>
      <c r="C1735" s="24"/>
      <c r="D1735" s="24"/>
      <c r="E1735" s="25"/>
    </row>
    <row r="1736">
      <c r="A1736" s="24"/>
      <c r="B1736" s="24"/>
      <c r="C1736" s="24"/>
      <c r="D1736" s="24"/>
      <c r="E1736" s="25"/>
    </row>
    <row r="1737">
      <c r="A1737" s="24"/>
      <c r="B1737" s="24"/>
      <c r="C1737" s="24"/>
      <c r="D1737" s="24"/>
      <c r="E1737" s="25"/>
    </row>
    <row r="1738">
      <c r="A1738" s="24"/>
      <c r="B1738" s="24"/>
      <c r="C1738" s="24"/>
      <c r="D1738" s="24"/>
      <c r="E1738" s="25"/>
    </row>
    <row r="1739">
      <c r="A1739" s="24"/>
      <c r="B1739" s="24"/>
      <c r="C1739" s="24"/>
      <c r="D1739" s="24"/>
      <c r="E1739" s="25"/>
    </row>
    <row r="1740">
      <c r="A1740" s="24"/>
      <c r="B1740" s="24"/>
      <c r="C1740" s="24"/>
      <c r="D1740" s="24"/>
      <c r="E1740" s="25"/>
    </row>
    <row r="1741">
      <c r="A1741" s="24"/>
      <c r="B1741" s="24"/>
      <c r="C1741" s="24"/>
      <c r="D1741" s="24"/>
      <c r="E1741" s="25"/>
    </row>
    <row r="1742">
      <c r="A1742" s="24"/>
      <c r="B1742" s="24"/>
      <c r="C1742" s="24"/>
      <c r="D1742" s="24"/>
      <c r="E1742" s="25"/>
    </row>
    <row r="1743">
      <c r="A1743" s="24"/>
      <c r="B1743" s="24"/>
      <c r="C1743" s="24"/>
      <c r="D1743" s="24"/>
      <c r="E1743" s="25"/>
    </row>
    <row r="1744">
      <c r="A1744" s="24"/>
      <c r="B1744" s="24"/>
      <c r="C1744" s="24"/>
      <c r="D1744" s="24"/>
      <c r="E1744" s="25"/>
    </row>
    <row r="1745">
      <c r="A1745" s="24"/>
      <c r="B1745" s="24"/>
      <c r="C1745" s="24"/>
      <c r="D1745" s="24"/>
      <c r="E1745" s="25"/>
    </row>
    <row r="1746">
      <c r="A1746" s="24"/>
      <c r="B1746" s="24"/>
      <c r="C1746" s="24"/>
      <c r="D1746" s="24"/>
      <c r="E1746" s="25"/>
    </row>
    <row r="1747">
      <c r="A1747" s="24"/>
      <c r="B1747" s="24"/>
      <c r="C1747" s="24"/>
      <c r="D1747" s="24"/>
      <c r="E1747" s="25"/>
    </row>
    <row r="1748">
      <c r="A1748" s="24"/>
      <c r="B1748" s="24"/>
      <c r="C1748" s="24"/>
      <c r="D1748" s="24"/>
      <c r="E1748" s="25"/>
    </row>
    <row r="1749">
      <c r="A1749" s="24"/>
      <c r="B1749" s="24"/>
      <c r="C1749" s="24"/>
      <c r="D1749" s="24"/>
      <c r="E1749" s="25"/>
    </row>
    <row r="1750">
      <c r="A1750" s="24"/>
      <c r="B1750" s="24"/>
      <c r="C1750" s="24"/>
      <c r="D1750" s="24"/>
      <c r="E1750" s="25"/>
    </row>
    <row r="1751">
      <c r="A1751" s="24"/>
      <c r="B1751" s="24"/>
      <c r="C1751" s="24"/>
      <c r="D1751" s="24"/>
      <c r="E1751" s="25"/>
    </row>
    <row r="1752">
      <c r="A1752" s="24"/>
      <c r="B1752" s="24"/>
      <c r="C1752" s="24"/>
      <c r="D1752" s="24"/>
      <c r="E1752" s="25"/>
    </row>
    <row r="1753">
      <c r="A1753" s="24"/>
      <c r="B1753" s="24"/>
      <c r="C1753" s="24"/>
      <c r="D1753" s="24"/>
      <c r="E1753" s="25"/>
    </row>
    <row r="1754">
      <c r="A1754" s="24"/>
      <c r="B1754" s="24"/>
      <c r="C1754" s="24"/>
      <c r="D1754" s="24"/>
      <c r="E1754" s="25"/>
    </row>
    <row r="1755">
      <c r="A1755" s="24"/>
      <c r="B1755" s="24"/>
      <c r="C1755" s="24"/>
      <c r="D1755" s="24"/>
      <c r="E1755" s="25"/>
    </row>
    <row r="1756">
      <c r="A1756" s="24"/>
      <c r="B1756" s="24"/>
      <c r="C1756" s="24"/>
      <c r="D1756" s="24"/>
      <c r="E1756" s="25"/>
    </row>
    <row r="1757">
      <c r="A1757" s="24"/>
      <c r="B1757" s="24"/>
      <c r="C1757" s="24"/>
      <c r="D1757" s="24"/>
      <c r="E1757" s="25"/>
    </row>
    <row r="1758">
      <c r="A1758" s="24"/>
      <c r="B1758" s="24"/>
      <c r="C1758" s="24"/>
      <c r="D1758" s="24"/>
      <c r="E1758" s="25"/>
    </row>
    <row r="1759">
      <c r="A1759" s="24"/>
      <c r="B1759" s="24"/>
      <c r="C1759" s="24"/>
      <c r="D1759" s="24"/>
      <c r="E1759" s="25"/>
    </row>
    <row r="1760">
      <c r="A1760" s="24"/>
      <c r="B1760" s="24"/>
      <c r="C1760" s="24"/>
      <c r="D1760" s="24"/>
      <c r="E1760" s="25"/>
    </row>
    <row r="1761">
      <c r="A1761" s="24"/>
      <c r="B1761" s="24"/>
      <c r="C1761" s="24"/>
      <c r="D1761" s="24"/>
      <c r="E1761" s="25"/>
    </row>
    <row r="1762">
      <c r="A1762" s="24"/>
      <c r="B1762" s="24"/>
      <c r="C1762" s="24"/>
      <c r="D1762" s="24"/>
      <c r="E1762" s="25"/>
    </row>
    <row r="1763">
      <c r="A1763" s="24"/>
      <c r="B1763" s="24"/>
      <c r="C1763" s="24"/>
      <c r="D1763" s="24"/>
      <c r="E1763" s="25"/>
    </row>
    <row r="1764">
      <c r="A1764" s="24"/>
      <c r="B1764" s="24"/>
      <c r="C1764" s="24"/>
      <c r="D1764" s="24"/>
      <c r="E1764" s="25"/>
    </row>
    <row r="1765">
      <c r="A1765" s="24"/>
      <c r="B1765" s="24"/>
      <c r="C1765" s="24"/>
      <c r="D1765" s="24"/>
      <c r="E1765" s="25"/>
    </row>
    <row r="1766">
      <c r="A1766" s="24"/>
      <c r="B1766" s="24"/>
      <c r="C1766" s="24"/>
      <c r="D1766" s="24"/>
      <c r="E1766" s="25"/>
    </row>
    <row r="1767">
      <c r="A1767" s="24"/>
      <c r="B1767" s="24"/>
      <c r="C1767" s="24"/>
      <c r="D1767" s="24"/>
      <c r="E1767" s="25"/>
    </row>
    <row r="1768">
      <c r="A1768" s="24"/>
      <c r="B1768" s="24"/>
      <c r="C1768" s="24"/>
      <c r="D1768" s="24"/>
      <c r="E1768" s="25"/>
    </row>
    <row r="1769">
      <c r="A1769" s="24"/>
      <c r="B1769" s="24"/>
      <c r="C1769" s="24"/>
      <c r="D1769" s="24"/>
      <c r="E1769" s="25"/>
    </row>
    <row r="1770">
      <c r="A1770" s="24"/>
      <c r="B1770" s="24"/>
      <c r="C1770" s="24"/>
      <c r="D1770" s="24"/>
      <c r="E1770" s="25"/>
    </row>
    <row r="1771">
      <c r="A1771" s="24"/>
      <c r="B1771" s="24"/>
      <c r="C1771" s="24"/>
      <c r="D1771" s="24"/>
      <c r="E1771" s="25"/>
    </row>
    <row r="1772">
      <c r="A1772" s="24"/>
      <c r="B1772" s="24"/>
      <c r="C1772" s="24"/>
      <c r="D1772" s="24"/>
      <c r="E1772" s="25"/>
    </row>
    <row r="1773">
      <c r="A1773" s="24"/>
      <c r="B1773" s="24"/>
      <c r="C1773" s="24"/>
      <c r="D1773" s="24"/>
      <c r="E1773" s="25"/>
    </row>
    <row r="1774">
      <c r="A1774" s="24"/>
      <c r="B1774" s="24"/>
      <c r="C1774" s="24"/>
      <c r="D1774" s="24"/>
      <c r="E1774" s="25"/>
    </row>
    <row r="1775">
      <c r="A1775" s="24"/>
      <c r="B1775" s="24"/>
      <c r="C1775" s="24"/>
      <c r="D1775" s="24"/>
      <c r="E1775" s="25"/>
    </row>
    <row r="1776">
      <c r="A1776" s="24"/>
      <c r="B1776" s="24"/>
      <c r="C1776" s="24"/>
      <c r="D1776" s="24"/>
      <c r="E1776" s="25"/>
    </row>
    <row r="1777">
      <c r="A1777" s="24"/>
      <c r="B1777" s="24"/>
      <c r="C1777" s="24"/>
      <c r="D1777" s="24"/>
      <c r="E1777" s="25"/>
    </row>
    <row r="1778">
      <c r="A1778" s="24"/>
      <c r="B1778" s="24"/>
      <c r="C1778" s="24"/>
      <c r="D1778" s="24"/>
      <c r="E1778" s="25"/>
    </row>
    <row r="1779">
      <c r="A1779" s="24"/>
      <c r="B1779" s="24"/>
      <c r="C1779" s="24"/>
      <c r="D1779" s="24"/>
      <c r="E1779" s="25"/>
    </row>
    <row r="1780">
      <c r="A1780" s="24"/>
      <c r="B1780" s="24"/>
      <c r="C1780" s="24"/>
      <c r="D1780" s="24"/>
      <c r="E1780" s="25"/>
    </row>
    <row r="1781">
      <c r="A1781" s="24"/>
      <c r="B1781" s="24"/>
      <c r="C1781" s="24"/>
      <c r="D1781" s="24"/>
      <c r="E1781" s="25"/>
    </row>
    <row r="1782">
      <c r="A1782" s="24"/>
      <c r="B1782" s="24"/>
      <c r="C1782" s="24"/>
      <c r="D1782" s="24"/>
      <c r="E1782" s="25"/>
    </row>
    <row r="1783">
      <c r="A1783" s="24"/>
      <c r="B1783" s="24"/>
      <c r="C1783" s="24"/>
      <c r="D1783" s="24"/>
      <c r="E1783" s="25"/>
    </row>
    <row r="1784">
      <c r="A1784" s="24"/>
      <c r="B1784" s="24"/>
      <c r="C1784" s="24"/>
      <c r="D1784" s="24"/>
      <c r="E1784" s="25"/>
    </row>
    <row r="1785">
      <c r="A1785" s="24"/>
      <c r="B1785" s="24"/>
      <c r="C1785" s="24"/>
      <c r="D1785" s="24"/>
      <c r="E1785" s="25"/>
    </row>
    <row r="1786">
      <c r="A1786" s="24"/>
      <c r="B1786" s="24"/>
      <c r="C1786" s="24"/>
      <c r="D1786" s="24"/>
      <c r="E1786" s="25"/>
    </row>
    <row r="1787">
      <c r="A1787" s="24"/>
      <c r="B1787" s="24"/>
      <c r="C1787" s="24"/>
      <c r="D1787" s="24"/>
      <c r="E1787" s="25"/>
    </row>
    <row r="1788">
      <c r="A1788" s="24"/>
      <c r="B1788" s="24"/>
      <c r="C1788" s="24"/>
      <c r="D1788" s="24"/>
      <c r="E1788" s="25"/>
    </row>
    <row r="1789">
      <c r="A1789" s="24"/>
      <c r="B1789" s="24"/>
      <c r="C1789" s="24"/>
      <c r="D1789" s="24"/>
      <c r="E1789" s="25"/>
    </row>
    <row r="1790">
      <c r="A1790" s="24"/>
      <c r="B1790" s="24"/>
      <c r="C1790" s="24"/>
      <c r="D1790" s="24"/>
      <c r="E1790" s="25"/>
    </row>
    <row r="1791">
      <c r="A1791" s="24"/>
      <c r="B1791" s="24"/>
      <c r="C1791" s="24"/>
      <c r="D1791" s="24"/>
      <c r="E1791" s="25"/>
    </row>
    <row r="1792">
      <c r="A1792" s="24"/>
      <c r="B1792" s="24"/>
      <c r="C1792" s="24"/>
      <c r="D1792" s="24"/>
      <c r="E1792" s="25"/>
    </row>
    <row r="1793">
      <c r="A1793" s="24"/>
      <c r="B1793" s="24"/>
      <c r="C1793" s="24"/>
      <c r="D1793" s="24"/>
      <c r="E1793" s="25"/>
    </row>
    <row r="1794">
      <c r="A1794" s="24"/>
      <c r="B1794" s="24"/>
      <c r="C1794" s="24"/>
      <c r="D1794" s="24"/>
      <c r="E1794" s="25"/>
    </row>
    <row r="1795">
      <c r="A1795" s="24"/>
      <c r="B1795" s="24"/>
      <c r="C1795" s="24"/>
      <c r="D1795" s="24"/>
      <c r="E1795" s="25"/>
    </row>
    <row r="1796">
      <c r="A1796" s="24"/>
      <c r="B1796" s="24"/>
      <c r="C1796" s="24"/>
      <c r="D1796" s="24"/>
      <c r="E1796" s="25"/>
    </row>
    <row r="1797">
      <c r="A1797" s="24"/>
      <c r="B1797" s="24"/>
      <c r="C1797" s="24"/>
      <c r="D1797" s="24"/>
      <c r="E1797" s="25"/>
    </row>
    <row r="1798">
      <c r="A1798" s="24"/>
      <c r="B1798" s="24"/>
      <c r="C1798" s="24"/>
      <c r="D1798" s="24"/>
      <c r="E1798" s="25"/>
    </row>
    <row r="1799">
      <c r="A1799" s="24"/>
      <c r="B1799" s="24"/>
      <c r="C1799" s="24"/>
      <c r="D1799" s="24"/>
      <c r="E1799" s="25"/>
    </row>
    <row r="1800">
      <c r="A1800" s="24"/>
      <c r="B1800" s="24"/>
      <c r="C1800" s="24"/>
      <c r="D1800" s="24"/>
      <c r="E1800" s="25"/>
    </row>
    <row r="1801">
      <c r="A1801" s="24"/>
      <c r="B1801" s="24"/>
      <c r="C1801" s="24"/>
      <c r="D1801" s="24"/>
      <c r="E1801" s="25"/>
    </row>
    <row r="1802">
      <c r="A1802" s="24"/>
      <c r="B1802" s="24"/>
      <c r="C1802" s="24"/>
      <c r="D1802" s="24"/>
      <c r="E1802" s="25"/>
    </row>
    <row r="1803">
      <c r="A1803" s="24"/>
      <c r="B1803" s="24"/>
      <c r="C1803" s="24"/>
      <c r="D1803" s="24"/>
      <c r="E1803" s="25"/>
    </row>
    <row r="1804">
      <c r="A1804" s="24"/>
      <c r="B1804" s="24"/>
      <c r="C1804" s="24"/>
      <c r="D1804" s="24"/>
      <c r="E1804" s="25"/>
    </row>
    <row r="1805">
      <c r="A1805" s="24"/>
      <c r="B1805" s="24"/>
      <c r="C1805" s="24"/>
      <c r="D1805" s="24"/>
      <c r="E1805" s="25"/>
    </row>
    <row r="1806">
      <c r="A1806" s="24"/>
      <c r="B1806" s="24"/>
      <c r="C1806" s="24"/>
      <c r="D1806" s="24"/>
      <c r="E1806" s="25"/>
    </row>
    <row r="1807">
      <c r="A1807" s="24"/>
      <c r="B1807" s="24"/>
      <c r="C1807" s="24"/>
      <c r="D1807" s="24"/>
      <c r="E1807" s="25"/>
    </row>
    <row r="1808">
      <c r="A1808" s="24"/>
      <c r="B1808" s="24"/>
      <c r="C1808" s="24"/>
      <c r="D1808" s="24"/>
      <c r="E1808" s="25"/>
    </row>
    <row r="1809">
      <c r="A1809" s="24"/>
      <c r="B1809" s="24"/>
      <c r="C1809" s="24"/>
      <c r="D1809" s="24"/>
      <c r="E1809" s="25"/>
    </row>
    <row r="1810">
      <c r="A1810" s="24"/>
      <c r="B1810" s="24"/>
      <c r="C1810" s="24"/>
      <c r="D1810" s="24"/>
      <c r="E1810" s="25"/>
    </row>
    <row r="1811">
      <c r="A1811" s="24"/>
      <c r="B1811" s="24"/>
      <c r="C1811" s="24"/>
      <c r="D1811" s="24"/>
      <c r="E1811" s="25"/>
    </row>
    <row r="1812">
      <c r="A1812" s="24"/>
      <c r="B1812" s="24"/>
      <c r="C1812" s="24"/>
      <c r="D1812" s="24"/>
      <c r="E1812" s="25"/>
    </row>
    <row r="1813">
      <c r="A1813" s="24"/>
      <c r="B1813" s="24"/>
      <c r="C1813" s="24"/>
      <c r="D1813" s="24"/>
      <c r="E1813" s="25"/>
    </row>
    <row r="1814">
      <c r="A1814" s="24"/>
      <c r="B1814" s="24"/>
      <c r="C1814" s="24"/>
      <c r="D1814" s="24"/>
      <c r="E1814" s="25"/>
    </row>
    <row r="1815">
      <c r="A1815" s="24"/>
      <c r="B1815" s="24"/>
      <c r="C1815" s="24"/>
      <c r="D1815" s="24"/>
      <c r="E1815" s="25"/>
    </row>
    <row r="1816">
      <c r="A1816" s="24"/>
      <c r="B1816" s="24"/>
      <c r="C1816" s="24"/>
      <c r="D1816" s="24"/>
      <c r="E1816" s="25"/>
    </row>
    <row r="1817">
      <c r="A1817" s="24"/>
      <c r="B1817" s="24"/>
      <c r="C1817" s="24"/>
      <c r="D1817" s="24"/>
      <c r="E1817" s="25"/>
    </row>
    <row r="1818">
      <c r="A1818" s="24"/>
      <c r="B1818" s="24"/>
      <c r="C1818" s="24"/>
      <c r="D1818" s="24"/>
      <c r="E1818" s="25"/>
    </row>
    <row r="1819">
      <c r="A1819" s="24"/>
      <c r="B1819" s="24"/>
      <c r="C1819" s="24"/>
      <c r="D1819" s="24"/>
      <c r="E1819" s="25"/>
    </row>
    <row r="1820">
      <c r="A1820" s="24"/>
      <c r="B1820" s="24"/>
      <c r="C1820" s="24"/>
      <c r="D1820" s="24"/>
      <c r="E1820" s="25"/>
    </row>
    <row r="1821">
      <c r="A1821" s="24"/>
      <c r="B1821" s="24"/>
      <c r="C1821" s="24"/>
      <c r="D1821" s="24"/>
      <c r="E1821" s="25"/>
    </row>
    <row r="1822">
      <c r="A1822" s="24"/>
      <c r="B1822" s="24"/>
      <c r="C1822" s="24"/>
      <c r="D1822" s="24"/>
      <c r="E1822" s="25"/>
    </row>
    <row r="1823">
      <c r="A1823" s="24"/>
      <c r="B1823" s="24"/>
      <c r="C1823" s="24"/>
      <c r="D1823" s="24"/>
      <c r="E1823" s="25"/>
    </row>
    <row r="1824">
      <c r="A1824" s="24"/>
      <c r="B1824" s="24"/>
      <c r="C1824" s="24"/>
      <c r="D1824" s="24"/>
      <c r="E1824" s="25"/>
    </row>
    <row r="1825">
      <c r="A1825" s="24"/>
      <c r="B1825" s="24"/>
      <c r="C1825" s="24"/>
      <c r="D1825" s="24"/>
      <c r="E1825" s="25"/>
    </row>
    <row r="1826">
      <c r="A1826" s="24"/>
      <c r="B1826" s="24"/>
      <c r="C1826" s="24"/>
      <c r="D1826" s="24"/>
      <c r="E1826" s="25"/>
    </row>
    <row r="1827">
      <c r="A1827" s="24"/>
      <c r="B1827" s="24"/>
      <c r="C1827" s="24"/>
      <c r="D1827" s="24"/>
      <c r="E1827" s="25"/>
    </row>
    <row r="1828">
      <c r="A1828" s="24"/>
      <c r="B1828" s="24"/>
      <c r="C1828" s="24"/>
      <c r="D1828" s="24"/>
      <c r="E1828" s="25"/>
    </row>
    <row r="1829">
      <c r="A1829" s="24"/>
      <c r="B1829" s="24"/>
      <c r="C1829" s="24"/>
      <c r="D1829" s="24"/>
      <c r="E1829" s="25"/>
    </row>
    <row r="1830">
      <c r="A1830" s="24"/>
      <c r="B1830" s="24"/>
      <c r="C1830" s="24"/>
      <c r="D1830" s="24"/>
      <c r="E1830" s="25"/>
    </row>
    <row r="1831">
      <c r="A1831" s="24"/>
      <c r="B1831" s="24"/>
      <c r="C1831" s="24"/>
      <c r="D1831" s="24"/>
      <c r="E1831" s="25"/>
    </row>
    <row r="1832">
      <c r="A1832" s="24"/>
      <c r="B1832" s="24"/>
      <c r="C1832" s="24"/>
      <c r="D1832" s="24"/>
      <c r="E1832" s="25"/>
    </row>
    <row r="1833">
      <c r="A1833" s="24"/>
      <c r="B1833" s="24"/>
      <c r="C1833" s="24"/>
      <c r="D1833" s="24"/>
      <c r="E1833" s="25"/>
    </row>
    <row r="1834">
      <c r="A1834" s="24"/>
      <c r="B1834" s="24"/>
      <c r="C1834" s="24"/>
      <c r="D1834" s="24"/>
      <c r="E1834" s="25"/>
    </row>
    <row r="1835">
      <c r="A1835" s="24"/>
      <c r="B1835" s="24"/>
      <c r="C1835" s="24"/>
      <c r="D1835" s="24"/>
      <c r="E1835" s="25"/>
    </row>
    <row r="1836">
      <c r="A1836" s="24"/>
      <c r="B1836" s="24"/>
      <c r="C1836" s="24"/>
      <c r="D1836" s="24"/>
      <c r="E1836" s="25"/>
    </row>
    <row r="1837">
      <c r="A1837" s="24"/>
      <c r="B1837" s="24"/>
      <c r="C1837" s="24"/>
      <c r="D1837" s="24"/>
      <c r="E1837" s="25"/>
    </row>
    <row r="1838">
      <c r="A1838" s="24"/>
      <c r="B1838" s="24"/>
      <c r="C1838" s="24"/>
      <c r="D1838" s="24"/>
      <c r="E1838" s="25"/>
    </row>
    <row r="1839">
      <c r="A1839" s="24"/>
      <c r="B1839" s="24"/>
      <c r="C1839" s="24"/>
      <c r="D1839" s="24"/>
      <c r="E1839" s="25"/>
    </row>
    <row r="1840">
      <c r="A1840" s="24"/>
      <c r="B1840" s="24"/>
      <c r="C1840" s="24"/>
      <c r="D1840" s="24"/>
      <c r="E1840" s="25"/>
    </row>
    <row r="1841">
      <c r="A1841" s="24"/>
      <c r="B1841" s="24"/>
      <c r="C1841" s="24"/>
      <c r="D1841" s="24"/>
      <c r="E1841" s="25"/>
    </row>
    <row r="1842">
      <c r="A1842" s="24"/>
      <c r="B1842" s="24"/>
      <c r="C1842" s="24"/>
      <c r="D1842" s="24"/>
      <c r="E1842" s="25"/>
    </row>
    <row r="1843">
      <c r="A1843" s="24"/>
      <c r="B1843" s="24"/>
      <c r="C1843" s="24"/>
      <c r="D1843" s="24"/>
      <c r="E1843" s="25"/>
    </row>
    <row r="1844">
      <c r="A1844" s="24"/>
      <c r="B1844" s="24"/>
      <c r="C1844" s="24"/>
      <c r="D1844" s="24"/>
      <c r="E1844" s="25"/>
    </row>
    <row r="1845">
      <c r="A1845" s="24"/>
      <c r="B1845" s="24"/>
      <c r="C1845" s="24"/>
      <c r="D1845" s="24"/>
      <c r="E1845" s="25"/>
    </row>
    <row r="1846">
      <c r="A1846" s="24"/>
      <c r="B1846" s="24"/>
      <c r="C1846" s="24"/>
      <c r="D1846" s="24"/>
      <c r="E1846" s="25"/>
    </row>
    <row r="1847">
      <c r="A1847" s="24"/>
      <c r="B1847" s="24"/>
      <c r="C1847" s="24"/>
      <c r="D1847" s="24"/>
      <c r="E1847" s="25"/>
    </row>
    <row r="1848">
      <c r="A1848" s="24"/>
      <c r="B1848" s="24"/>
      <c r="C1848" s="24"/>
      <c r="D1848" s="24"/>
      <c r="E1848" s="25"/>
    </row>
    <row r="1849">
      <c r="A1849" s="24"/>
      <c r="B1849" s="24"/>
      <c r="C1849" s="24"/>
      <c r="D1849" s="24"/>
      <c r="E1849" s="25"/>
    </row>
    <row r="1850">
      <c r="A1850" s="24"/>
      <c r="B1850" s="24"/>
      <c r="C1850" s="24"/>
      <c r="D1850" s="24"/>
      <c r="E1850" s="25"/>
    </row>
    <row r="1851">
      <c r="A1851" s="24"/>
      <c r="B1851" s="24"/>
      <c r="C1851" s="24"/>
      <c r="D1851" s="24"/>
      <c r="E1851" s="25"/>
    </row>
    <row r="1852">
      <c r="A1852" s="24"/>
      <c r="B1852" s="24"/>
      <c r="C1852" s="24"/>
      <c r="D1852" s="24"/>
      <c r="E1852" s="25"/>
    </row>
    <row r="1853">
      <c r="A1853" s="24"/>
      <c r="B1853" s="24"/>
      <c r="C1853" s="24"/>
      <c r="D1853" s="24"/>
      <c r="E1853" s="25"/>
    </row>
    <row r="1854">
      <c r="A1854" s="24"/>
      <c r="B1854" s="24"/>
      <c r="C1854" s="24"/>
      <c r="D1854" s="24"/>
      <c r="E1854" s="25"/>
    </row>
    <row r="1855">
      <c r="A1855" s="24"/>
      <c r="B1855" s="24"/>
      <c r="C1855" s="24"/>
      <c r="D1855" s="24"/>
      <c r="E1855" s="25"/>
    </row>
    <row r="1856">
      <c r="A1856" s="24"/>
      <c r="B1856" s="24"/>
      <c r="C1856" s="24"/>
      <c r="D1856" s="24"/>
      <c r="E1856" s="25"/>
    </row>
    <row r="1857">
      <c r="A1857" s="24"/>
      <c r="B1857" s="24"/>
      <c r="C1857" s="24"/>
      <c r="D1857" s="24"/>
      <c r="E1857" s="25"/>
    </row>
    <row r="1858">
      <c r="A1858" s="24"/>
      <c r="B1858" s="24"/>
      <c r="C1858" s="24"/>
      <c r="D1858" s="24"/>
      <c r="E1858" s="25"/>
    </row>
    <row r="1859">
      <c r="A1859" s="24"/>
      <c r="B1859" s="24"/>
      <c r="C1859" s="24"/>
      <c r="D1859" s="24"/>
      <c r="E1859" s="25"/>
    </row>
    <row r="1860">
      <c r="A1860" s="24"/>
      <c r="B1860" s="24"/>
      <c r="C1860" s="24"/>
      <c r="D1860" s="24"/>
      <c r="E1860" s="25"/>
    </row>
    <row r="1861">
      <c r="A1861" s="24"/>
      <c r="B1861" s="24"/>
      <c r="C1861" s="24"/>
      <c r="D1861" s="24"/>
      <c r="E1861" s="25"/>
    </row>
    <row r="1862">
      <c r="A1862" s="24"/>
      <c r="B1862" s="24"/>
      <c r="C1862" s="24"/>
      <c r="D1862" s="24"/>
      <c r="E1862" s="25"/>
    </row>
    <row r="1863">
      <c r="A1863" s="24"/>
      <c r="B1863" s="24"/>
      <c r="C1863" s="24"/>
      <c r="D1863" s="24"/>
      <c r="E1863" s="25"/>
    </row>
    <row r="1864">
      <c r="A1864" s="24"/>
      <c r="B1864" s="24"/>
      <c r="C1864" s="24"/>
      <c r="D1864" s="24"/>
      <c r="E1864" s="25"/>
    </row>
    <row r="1865">
      <c r="A1865" s="24"/>
      <c r="B1865" s="24"/>
      <c r="C1865" s="24"/>
      <c r="D1865" s="24"/>
      <c r="E1865" s="25"/>
    </row>
    <row r="1866">
      <c r="A1866" s="24"/>
      <c r="B1866" s="24"/>
      <c r="C1866" s="24"/>
      <c r="D1866" s="24"/>
      <c r="E1866" s="25"/>
    </row>
    <row r="1867">
      <c r="A1867" s="24"/>
      <c r="B1867" s="24"/>
      <c r="C1867" s="24"/>
      <c r="D1867" s="24"/>
      <c r="E1867" s="25"/>
    </row>
    <row r="1868">
      <c r="A1868" s="24"/>
      <c r="B1868" s="24"/>
      <c r="C1868" s="24"/>
      <c r="D1868" s="24"/>
      <c r="E1868" s="25"/>
    </row>
    <row r="1869">
      <c r="A1869" s="24"/>
      <c r="B1869" s="24"/>
      <c r="C1869" s="24"/>
      <c r="D1869" s="24"/>
      <c r="E1869" s="25"/>
    </row>
    <row r="1870">
      <c r="A1870" s="24"/>
      <c r="B1870" s="24"/>
      <c r="C1870" s="24"/>
      <c r="D1870" s="24"/>
      <c r="E1870" s="25"/>
    </row>
    <row r="1871">
      <c r="A1871" s="24"/>
      <c r="B1871" s="24"/>
      <c r="C1871" s="24"/>
      <c r="D1871" s="24"/>
      <c r="E1871" s="25"/>
    </row>
    <row r="1872">
      <c r="A1872" s="24"/>
      <c r="B1872" s="24"/>
      <c r="C1872" s="24"/>
      <c r="D1872" s="24"/>
      <c r="E1872" s="25"/>
    </row>
    <row r="1873">
      <c r="A1873" s="24"/>
      <c r="B1873" s="24"/>
      <c r="C1873" s="24"/>
      <c r="D1873" s="24"/>
      <c r="E1873" s="25"/>
    </row>
    <row r="1874">
      <c r="A1874" s="24"/>
      <c r="B1874" s="24"/>
      <c r="C1874" s="24"/>
      <c r="D1874" s="24"/>
      <c r="E1874" s="25"/>
    </row>
    <row r="1875">
      <c r="A1875" s="24"/>
      <c r="B1875" s="24"/>
      <c r="C1875" s="24"/>
      <c r="D1875" s="24"/>
      <c r="E1875" s="25"/>
    </row>
    <row r="1876">
      <c r="A1876" s="24"/>
      <c r="B1876" s="24"/>
      <c r="C1876" s="24"/>
      <c r="D1876" s="24"/>
      <c r="E1876" s="25"/>
    </row>
    <row r="1877">
      <c r="A1877" s="24"/>
      <c r="B1877" s="24"/>
      <c r="C1877" s="24"/>
      <c r="D1877" s="24"/>
      <c r="E1877" s="25"/>
    </row>
    <row r="1878">
      <c r="A1878" s="24"/>
      <c r="B1878" s="24"/>
      <c r="C1878" s="24"/>
      <c r="D1878" s="24"/>
      <c r="E1878" s="25"/>
    </row>
    <row r="1879">
      <c r="A1879" s="24"/>
      <c r="B1879" s="24"/>
      <c r="C1879" s="24"/>
      <c r="D1879" s="24"/>
      <c r="E1879" s="25"/>
    </row>
    <row r="1880">
      <c r="A1880" s="24"/>
      <c r="B1880" s="24"/>
      <c r="C1880" s="24"/>
      <c r="D1880" s="24"/>
      <c r="E1880" s="25"/>
    </row>
    <row r="1881">
      <c r="A1881" s="24"/>
      <c r="B1881" s="24"/>
      <c r="C1881" s="24"/>
      <c r="D1881" s="24"/>
      <c r="E1881" s="25"/>
    </row>
    <row r="1882">
      <c r="A1882" s="24"/>
      <c r="B1882" s="24"/>
      <c r="C1882" s="24"/>
      <c r="D1882" s="24"/>
      <c r="E1882" s="25"/>
    </row>
    <row r="1883">
      <c r="A1883" s="24"/>
      <c r="B1883" s="24"/>
      <c r="C1883" s="24"/>
      <c r="D1883" s="24"/>
      <c r="E1883" s="25"/>
    </row>
    <row r="1884">
      <c r="A1884" s="24"/>
      <c r="B1884" s="24"/>
      <c r="C1884" s="24"/>
      <c r="D1884" s="24"/>
      <c r="E1884" s="25"/>
    </row>
    <row r="1885">
      <c r="A1885" s="24"/>
      <c r="B1885" s="24"/>
      <c r="C1885" s="24"/>
      <c r="D1885" s="24"/>
      <c r="E1885" s="25"/>
    </row>
    <row r="1886">
      <c r="A1886" s="24"/>
      <c r="B1886" s="24"/>
      <c r="C1886" s="24"/>
      <c r="D1886" s="24"/>
      <c r="E1886" s="25"/>
    </row>
    <row r="1887">
      <c r="A1887" s="24"/>
      <c r="B1887" s="24"/>
      <c r="C1887" s="24"/>
      <c r="D1887" s="24"/>
      <c r="E1887" s="25"/>
    </row>
    <row r="1888">
      <c r="A1888" s="24"/>
      <c r="B1888" s="24"/>
      <c r="C1888" s="24"/>
      <c r="D1888" s="24"/>
      <c r="E1888" s="25"/>
    </row>
    <row r="1889">
      <c r="A1889" s="24"/>
      <c r="B1889" s="24"/>
      <c r="C1889" s="24"/>
      <c r="D1889" s="24"/>
      <c r="E1889" s="25"/>
    </row>
    <row r="1890">
      <c r="A1890" s="24"/>
      <c r="B1890" s="24"/>
      <c r="C1890" s="24"/>
      <c r="D1890" s="24"/>
      <c r="E1890" s="25"/>
    </row>
    <row r="1891">
      <c r="A1891" s="24"/>
      <c r="B1891" s="24"/>
      <c r="C1891" s="24"/>
      <c r="D1891" s="24"/>
      <c r="E1891" s="25"/>
    </row>
    <row r="1892">
      <c r="A1892" s="24"/>
      <c r="B1892" s="24"/>
      <c r="C1892" s="24"/>
      <c r="D1892" s="24"/>
      <c r="E1892" s="25"/>
    </row>
    <row r="1893">
      <c r="A1893" s="24"/>
      <c r="B1893" s="24"/>
      <c r="C1893" s="24"/>
      <c r="D1893" s="24"/>
      <c r="E1893" s="25"/>
    </row>
    <row r="1894">
      <c r="A1894" s="24"/>
      <c r="B1894" s="24"/>
      <c r="C1894" s="24"/>
      <c r="D1894" s="24"/>
      <c r="E1894" s="25"/>
    </row>
    <row r="1895">
      <c r="A1895" s="24"/>
      <c r="B1895" s="24"/>
      <c r="C1895" s="24"/>
      <c r="D1895" s="24"/>
      <c r="E1895" s="25"/>
    </row>
    <row r="1896">
      <c r="A1896" s="24"/>
      <c r="B1896" s="24"/>
      <c r="C1896" s="24"/>
      <c r="D1896" s="24"/>
      <c r="E1896" s="25"/>
    </row>
    <row r="1897">
      <c r="A1897" s="24"/>
      <c r="B1897" s="24"/>
      <c r="C1897" s="24"/>
      <c r="D1897" s="24"/>
      <c r="E1897" s="25"/>
    </row>
    <row r="1898">
      <c r="A1898" s="24"/>
      <c r="B1898" s="24"/>
      <c r="C1898" s="24"/>
      <c r="D1898" s="24"/>
      <c r="E1898" s="25"/>
    </row>
    <row r="1899">
      <c r="A1899" s="24"/>
      <c r="B1899" s="24"/>
      <c r="C1899" s="24"/>
      <c r="D1899" s="24"/>
      <c r="E1899" s="25"/>
    </row>
    <row r="1900">
      <c r="A1900" s="24"/>
      <c r="B1900" s="24"/>
      <c r="C1900" s="24"/>
      <c r="D1900" s="24"/>
      <c r="E1900" s="25"/>
    </row>
    <row r="1901">
      <c r="A1901" s="24"/>
      <c r="B1901" s="24"/>
      <c r="C1901" s="24"/>
      <c r="D1901" s="24"/>
      <c r="E1901" s="25"/>
    </row>
    <row r="1902">
      <c r="A1902" s="24"/>
      <c r="B1902" s="24"/>
      <c r="C1902" s="24"/>
      <c r="D1902" s="24"/>
      <c r="E1902" s="25"/>
    </row>
    <row r="1903">
      <c r="A1903" s="24"/>
      <c r="B1903" s="24"/>
      <c r="C1903" s="24"/>
      <c r="D1903" s="24"/>
      <c r="E1903" s="25"/>
    </row>
    <row r="1904">
      <c r="A1904" s="24"/>
      <c r="B1904" s="24"/>
      <c r="C1904" s="24"/>
      <c r="D1904" s="24"/>
      <c r="E1904" s="25"/>
    </row>
    <row r="1905">
      <c r="A1905" s="24"/>
      <c r="B1905" s="24"/>
      <c r="C1905" s="24"/>
      <c r="D1905" s="24"/>
      <c r="E1905" s="25"/>
    </row>
    <row r="1906">
      <c r="A1906" s="24"/>
      <c r="B1906" s="24"/>
      <c r="C1906" s="24"/>
      <c r="D1906" s="24"/>
      <c r="E1906" s="25"/>
    </row>
    <row r="1907">
      <c r="A1907" s="24"/>
      <c r="B1907" s="24"/>
      <c r="C1907" s="24"/>
      <c r="D1907" s="24"/>
      <c r="E1907" s="25"/>
    </row>
    <row r="1908">
      <c r="A1908" s="24"/>
      <c r="B1908" s="24"/>
      <c r="C1908" s="24"/>
      <c r="D1908" s="24"/>
      <c r="E1908" s="25"/>
    </row>
    <row r="1909">
      <c r="A1909" s="24"/>
      <c r="B1909" s="24"/>
      <c r="C1909" s="24"/>
      <c r="D1909" s="24"/>
      <c r="E1909" s="25"/>
    </row>
    <row r="1910">
      <c r="A1910" s="24"/>
      <c r="B1910" s="24"/>
      <c r="C1910" s="24"/>
      <c r="D1910" s="24"/>
      <c r="E1910" s="25"/>
    </row>
    <row r="1911">
      <c r="A1911" s="24"/>
      <c r="B1911" s="24"/>
      <c r="C1911" s="24"/>
      <c r="D1911" s="24"/>
      <c r="E1911" s="25"/>
    </row>
    <row r="1912">
      <c r="A1912" s="24"/>
      <c r="B1912" s="24"/>
      <c r="C1912" s="24"/>
      <c r="D1912" s="24"/>
      <c r="E1912" s="25"/>
    </row>
    <row r="1913">
      <c r="A1913" s="24"/>
      <c r="B1913" s="24"/>
      <c r="C1913" s="24"/>
      <c r="D1913" s="24"/>
      <c r="E1913" s="25"/>
    </row>
    <row r="1914">
      <c r="A1914" s="24"/>
      <c r="B1914" s="24"/>
      <c r="C1914" s="24"/>
      <c r="D1914" s="24"/>
      <c r="E1914" s="25"/>
    </row>
    <row r="1915">
      <c r="A1915" s="24"/>
      <c r="B1915" s="24"/>
      <c r="C1915" s="24"/>
      <c r="D1915" s="24"/>
      <c r="E1915" s="25"/>
    </row>
    <row r="1916">
      <c r="A1916" s="24"/>
      <c r="B1916" s="24"/>
      <c r="C1916" s="24"/>
      <c r="D1916" s="24"/>
      <c r="E1916" s="25"/>
    </row>
    <row r="1917">
      <c r="A1917" s="24"/>
      <c r="B1917" s="24"/>
      <c r="C1917" s="24"/>
      <c r="D1917" s="24"/>
      <c r="E1917" s="25"/>
    </row>
    <row r="1918">
      <c r="A1918" s="24"/>
      <c r="B1918" s="24"/>
      <c r="C1918" s="24"/>
      <c r="D1918" s="24"/>
      <c r="E1918" s="25"/>
    </row>
    <row r="1919">
      <c r="A1919" s="24"/>
      <c r="B1919" s="24"/>
      <c r="C1919" s="24"/>
      <c r="D1919" s="24"/>
      <c r="E1919" s="25"/>
    </row>
    <row r="1920">
      <c r="A1920" s="24"/>
      <c r="B1920" s="24"/>
      <c r="C1920" s="24"/>
      <c r="D1920" s="24"/>
      <c r="E1920" s="25"/>
    </row>
    <row r="1921">
      <c r="A1921" s="24"/>
      <c r="B1921" s="24"/>
      <c r="C1921" s="24"/>
      <c r="D1921" s="24"/>
      <c r="E1921" s="25"/>
    </row>
    <row r="1922">
      <c r="A1922" s="24"/>
      <c r="B1922" s="24"/>
      <c r="C1922" s="24"/>
      <c r="D1922" s="24"/>
      <c r="E1922" s="25"/>
    </row>
    <row r="1923">
      <c r="A1923" s="24"/>
      <c r="B1923" s="24"/>
      <c r="C1923" s="24"/>
      <c r="D1923" s="24"/>
      <c r="E1923" s="25"/>
    </row>
    <row r="1924">
      <c r="A1924" s="24"/>
      <c r="B1924" s="24"/>
      <c r="C1924" s="24"/>
      <c r="D1924" s="24"/>
      <c r="E1924" s="25"/>
    </row>
    <row r="1925">
      <c r="A1925" s="24"/>
      <c r="B1925" s="24"/>
      <c r="C1925" s="24"/>
      <c r="D1925" s="24"/>
      <c r="E1925" s="25"/>
    </row>
    <row r="1926">
      <c r="A1926" s="24"/>
      <c r="B1926" s="24"/>
      <c r="C1926" s="24"/>
      <c r="D1926" s="24"/>
      <c r="E1926" s="25"/>
    </row>
    <row r="1927">
      <c r="A1927" s="24"/>
      <c r="B1927" s="24"/>
      <c r="C1927" s="24"/>
      <c r="D1927" s="24"/>
      <c r="E1927" s="25"/>
    </row>
    <row r="1928">
      <c r="A1928" s="24"/>
      <c r="B1928" s="24"/>
      <c r="C1928" s="24"/>
      <c r="D1928" s="24"/>
      <c r="E1928" s="25"/>
    </row>
    <row r="1929">
      <c r="A1929" s="24"/>
      <c r="B1929" s="24"/>
      <c r="C1929" s="24"/>
      <c r="D1929" s="24"/>
      <c r="E1929" s="25"/>
    </row>
    <row r="1930">
      <c r="A1930" s="24"/>
      <c r="B1930" s="24"/>
      <c r="C1930" s="24"/>
      <c r="D1930" s="24"/>
      <c r="E1930" s="25"/>
    </row>
    <row r="1931">
      <c r="A1931" s="24"/>
      <c r="B1931" s="24"/>
      <c r="C1931" s="24"/>
      <c r="D1931" s="24"/>
      <c r="E1931" s="25"/>
    </row>
    <row r="1932">
      <c r="A1932" s="24"/>
      <c r="B1932" s="24"/>
      <c r="C1932" s="24"/>
      <c r="D1932" s="24"/>
      <c r="E1932" s="25"/>
    </row>
    <row r="1933">
      <c r="A1933" s="24"/>
      <c r="B1933" s="24"/>
      <c r="C1933" s="24"/>
      <c r="D1933" s="24"/>
      <c r="E1933" s="25"/>
    </row>
    <row r="1934">
      <c r="A1934" s="24"/>
      <c r="B1934" s="24"/>
      <c r="C1934" s="24"/>
      <c r="D1934" s="24"/>
      <c r="E1934" s="25"/>
    </row>
    <row r="1935">
      <c r="A1935" s="24"/>
      <c r="B1935" s="24"/>
      <c r="C1935" s="24"/>
      <c r="D1935" s="24"/>
      <c r="E1935" s="25"/>
    </row>
    <row r="1936">
      <c r="A1936" s="24"/>
      <c r="B1936" s="24"/>
      <c r="C1936" s="24"/>
      <c r="D1936" s="24"/>
      <c r="E1936" s="25"/>
    </row>
    <row r="1937">
      <c r="A1937" s="24"/>
      <c r="B1937" s="24"/>
      <c r="C1937" s="24"/>
      <c r="D1937" s="24"/>
      <c r="E1937" s="25"/>
    </row>
    <row r="1938">
      <c r="A1938" s="24"/>
      <c r="B1938" s="24"/>
      <c r="C1938" s="24"/>
      <c r="D1938" s="24"/>
      <c r="E1938" s="25"/>
    </row>
    <row r="1939">
      <c r="A1939" s="24"/>
      <c r="B1939" s="24"/>
      <c r="C1939" s="24"/>
      <c r="D1939" s="24"/>
      <c r="E1939" s="25"/>
    </row>
    <row r="1940">
      <c r="A1940" s="24"/>
      <c r="B1940" s="24"/>
      <c r="C1940" s="24"/>
      <c r="D1940" s="24"/>
      <c r="E1940" s="25"/>
    </row>
    <row r="1941">
      <c r="A1941" s="24"/>
      <c r="B1941" s="24"/>
      <c r="C1941" s="24"/>
      <c r="D1941" s="24"/>
      <c r="E1941" s="25"/>
    </row>
    <row r="1942">
      <c r="A1942" s="24"/>
      <c r="B1942" s="24"/>
      <c r="C1942" s="24"/>
      <c r="D1942" s="24"/>
      <c r="E1942" s="25"/>
    </row>
    <row r="1943">
      <c r="A1943" s="24"/>
      <c r="B1943" s="24"/>
      <c r="C1943" s="24"/>
      <c r="D1943" s="24"/>
      <c r="E1943" s="25"/>
    </row>
    <row r="1944">
      <c r="A1944" s="24"/>
      <c r="B1944" s="24"/>
      <c r="C1944" s="24"/>
      <c r="D1944" s="24"/>
      <c r="E1944" s="25"/>
    </row>
    <row r="1945">
      <c r="A1945" s="24"/>
      <c r="B1945" s="24"/>
      <c r="C1945" s="24"/>
      <c r="D1945" s="24"/>
      <c r="E1945" s="25"/>
    </row>
    <row r="1946">
      <c r="A1946" s="24"/>
      <c r="B1946" s="24"/>
      <c r="C1946" s="24"/>
      <c r="D1946" s="24"/>
      <c r="E1946" s="25"/>
    </row>
    <row r="1947">
      <c r="A1947" s="24"/>
      <c r="B1947" s="24"/>
      <c r="C1947" s="24"/>
      <c r="D1947" s="24"/>
      <c r="E1947" s="25"/>
    </row>
    <row r="1948">
      <c r="A1948" s="24"/>
      <c r="B1948" s="24"/>
      <c r="C1948" s="24"/>
      <c r="D1948" s="24"/>
      <c r="E1948" s="25"/>
    </row>
    <row r="1949">
      <c r="A1949" s="24"/>
      <c r="B1949" s="24"/>
      <c r="C1949" s="24"/>
      <c r="D1949" s="24"/>
      <c r="E1949" s="25"/>
    </row>
    <row r="1950">
      <c r="A1950" s="24"/>
      <c r="B1950" s="24"/>
      <c r="C1950" s="24"/>
      <c r="D1950" s="24"/>
      <c r="E1950" s="25"/>
    </row>
    <row r="1951">
      <c r="A1951" s="24"/>
      <c r="B1951" s="24"/>
      <c r="C1951" s="24"/>
      <c r="D1951" s="24"/>
      <c r="E1951" s="25"/>
    </row>
    <row r="1952">
      <c r="A1952" s="24"/>
      <c r="B1952" s="24"/>
      <c r="C1952" s="24"/>
      <c r="D1952" s="24"/>
      <c r="E1952" s="25"/>
    </row>
    <row r="1953">
      <c r="A1953" s="24"/>
      <c r="B1953" s="24"/>
      <c r="C1953" s="24"/>
      <c r="D1953" s="24"/>
      <c r="E1953" s="25"/>
    </row>
    <row r="1954">
      <c r="A1954" s="24"/>
      <c r="B1954" s="24"/>
      <c r="C1954" s="24"/>
      <c r="D1954" s="24"/>
      <c r="E1954" s="25"/>
    </row>
    <row r="1955">
      <c r="A1955" s="24"/>
      <c r="B1955" s="24"/>
      <c r="C1955" s="24"/>
      <c r="D1955" s="24"/>
      <c r="E1955" s="25"/>
    </row>
    <row r="1956">
      <c r="A1956" s="24"/>
      <c r="B1956" s="24"/>
      <c r="C1956" s="24"/>
      <c r="D1956" s="24"/>
      <c r="E1956" s="25"/>
    </row>
    <row r="1957">
      <c r="A1957" s="24"/>
      <c r="B1957" s="24"/>
      <c r="C1957" s="24"/>
      <c r="D1957" s="24"/>
      <c r="E1957" s="25"/>
    </row>
    <row r="1958">
      <c r="A1958" s="24"/>
      <c r="B1958" s="24"/>
      <c r="C1958" s="24"/>
      <c r="D1958" s="24"/>
      <c r="E1958" s="25"/>
    </row>
    <row r="1959">
      <c r="A1959" s="24"/>
      <c r="B1959" s="24"/>
      <c r="C1959" s="24"/>
      <c r="D1959" s="24"/>
      <c r="E1959" s="25"/>
    </row>
    <row r="1960">
      <c r="A1960" s="24"/>
      <c r="B1960" s="24"/>
      <c r="C1960" s="24"/>
      <c r="D1960" s="24"/>
      <c r="E1960" s="25"/>
    </row>
    <row r="1961">
      <c r="A1961" s="24"/>
      <c r="B1961" s="24"/>
      <c r="C1961" s="24"/>
      <c r="D1961" s="24"/>
      <c r="E1961" s="25"/>
    </row>
    <row r="1962">
      <c r="A1962" s="24"/>
      <c r="B1962" s="24"/>
      <c r="C1962" s="24"/>
      <c r="D1962" s="24"/>
      <c r="E1962" s="25"/>
    </row>
    <row r="1963">
      <c r="A1963" s="24"/>
      <c r="B1963" s="24"/>
      <c r="C1963" s="24"/>
      <c r="D1963" s="24"/>
      <c r="E1963" s="25"/>
    </row>
    <row r="1964">
      <c r="A1964" s="24"/>
      <c r="B1964" s="24"/>
      <c r="C1964" s="24"/>
      <c r="D1964" s="24"/>
      <c r="E1964" s="25"/>
    </row>
    <row r="1965">
      <c r="A1965" s="24"/>
      <c r="B1965" s="24"/>
      <c r="C1965" s="24"/>
      <c r="D1965" s="24"/>
      <c r="E1965" s="25"/>
    </row>
    <row r="1966">
      <c r="A1966" s="24"/>
      <c r="B1966" s="24"/>
      <c r="C1966" s="24"/>
      <c r="D1966" s="24"/>
      <c r="E1966" s="25"/>
    </row>
    <row r="1967">
      <c r="A1967" s="24"/>
      <c r="B1967" s="24"/>
      <c r="C1967" s="24"/>
      <c r="D1967" s="24"/>
      <c r="E1967" s="25"/>
    </row>
    <row r="1968">
      <c r="A1968" s="24"/>
      <c r="B1968" s="24"/>
      <c r="C1968" s="24"/>
      <c r="D1968" s="24"/>
      <c r="E1968" s="25"/>
    </row>
    <row r="1969">
      <c r="A1969" s="24"/>
      <c r="B1969" s="24"/>
      <c r="C1969" s="24"/>
      <c r="D1969" s="24"/>
      <c r="E1969" s="25"/>
    </row>
    <row r="1970">
      <c r="A1970" s="24"/>
      <c r="B1970" s="24"/>
      <c r="C1970" s="24"/>
      <c r="D1970" s="24"/>
      <c r="E1970" s="25"/>
    </row>
    <row r="1971">
      <c r="A1971" s="24"/>
      <c r="B1971" s="24"/>
      <c r="C1971" s="24"/>
      <c r="D1971" s="24"/>
      <c r="E1971" s="25"/>
    </row>
    <row r="1972">
      <c r="A1972" s="24"/>
      <c r="B1972" s="24"/>
      <c r="C1972" s="24"/>
      <c r="D1972" s="24"/>
      <c r="E1972" s="25"/>
    </row>
    <row r="1973">
      <c r="A1973" s="24"/>
      <c r="B1973" s="24"/>
      <c r="C1973" s="24"/>
      <c r="D1973" s="24"/>
      <c r="E1973" s="25"/>
    </row>
    <row r="1974">
      <c r="A1974" s="24"/>
      <c r="B1974" s="24"/>
      <c r="C1974" s="24"/>
      <c r="D1974" s="24"/>
      <c r="E1974" s="25"/>
    </row>
    <row r="1975">
      <c r="A1975" s="24"/>
      <c r="B1975" s="24"/>
      <c r="C1975" s="24"/>
      <c r="D1975" s="24"/>
      <c r="E1975" s="25"/>
    </row>
    <row r="1976">
      <c r="A1976" s="24"/>
      <c r="B1976" s="24"/>
      <c r="C1976" s="24"/>
      <c r="D1976" s="24"/>
      <c r="E1976" s="25"/>
    </row>
    <row r="1977">
      <c r="A1977" s="24"/>
      <c r="B1977" s="24"/>
      <c r="C1977" s="24"/>
      <c r="D1977" s="24"/>
      <c r="E1977" s="25"/>
    </row>
    <row r="1978">
      <c r="A1978" s="24"/>
      <c r="B1978" s="24"/>
      <c r="C1978" s="24"/>
      <c r="D1978" s="24"/>
      <c r="E1978" s="25"/>
    </row>
    <row r="1979">
      <c r="A1979" s="24"/>
      <c r="B1979" s="24"/>
      <c r="C1979" s="24"/>
      <c r="D1979" s="24"/>
      <c r="E1979" s="25"/>
    </row>
    <row r="1980">
      <c r="A1980" s="24"/>
      <c r="B1980" s="24"/>
      <c r="C1980" s="24"/>
      <c r="D1980" s="24"/>
      <c r="E1980" s="25"/>
    </row>
    <row r="1981">
      <c r="A1981" s="24"/>
      <c r="B1981" s="24"/>
      <c r="C1981" s="24"/>
      <c r="D1981" s="24"/>
      <c r="E1981" s="25"/>
    </row>
    <row r="1982">
      <c r="A1982" s="24"/>
      <c r="B1982" s="24"/>
      <c r="C1982" s="24"/>
      <c r="D1982" s="24"/>
      <c r="E1982" s="25"/>
    </row>
    <row r="1983">
      <c r="A1983" s="24"/>
      <c r="B1983" s="24"/>
      <c r="C1983" s="24"/>
      <c r="D1983" s="24"/>
      <c r="E1983" s="25"/>
    </row>
    <row r="1984">
      <c r="A1984" s="24"/>
      <c r="B1984" s="24"/>
      <c r="C1984" s="24"/>
      <c r="D1984" s="24"/>
      <c r="E1984" s="25"/>
    </row>
    <row r="1985">
      <c r="A1985" s="24"/>
      <c r="B1985" s="24"/>
      <c r="C1985" s="24"/>
      <c r="D1985" s="24"/>
      <c r="E1985" s="25"/>
    </row>
    <row r="1986">
      <c r="A1986" s="24"/>
      <c r="B1986" s="24"/>
      <c r="C1986" s="24"/>
      <c r="D1986" s="24"/>
      <c r="E1986" s="25"/>
    </row>
    <row r="1987">
      <c r="A1987" s="24"/>
      <c r="B1987" s="24"/>
      <c r="C1987" s="24"/>
      <c r="D1987" s="24"/>
      <c r="E1987" s="25"/>
    </row>
    <row r="1988">
      <c r="A1988" s="24"/>
      <c r="B1988" s="24"/>
      <c r="C1988" s="24"/>
      <c r="D1988" s="24"/>
      <c r="E1988" s="25"/>
    </row>
    <row r="1989">
      <c r="A1989" s="24"/>
      <c r="B1989" s="24"/>
      <c r="C1989" s="24"/>
      <c r="D1989" s="24"/>
      <c r="E1989" s="25"/>
    </row>
    <row r="1990">
      <c r="A1990" s="24"/>
      <c r="B1990" s="24"/>
      <c r="C1990" s="24"/>
      <c r="D1990" s="24"/>
      <c r="E1990" s="25"/>
    </row>
    <row r="1991">
      <c r="A1991" s="24"/>
      <c r="B1991" s="24"/>
      <c r="C1991" s="24"/>
      <c r="D1991" s="24"/>
      <c r="E1991" s="25"/>
    </row>
    <row r="1992">
      <c r="A1992" s="24"/>
      <c r="B1992" s="24"/>
      <c r="C1992" s="24"/>
      <c r="D1992" s="24"/>
      <c r="E1992" s="25"/>
    </row>
    <row r="1993">
      <c r="A1993" s="24"/>
      <c r="B1993" s="24"/>
      <c r="C1993" s="24"/>
      <c r="D1993" s="24"/>
      <c r="E1993" s="25"/>
    </row>
    <row r="1994">
      <c r="A1994" s="24"/>
      <c r="B1994" s="24"/>
      <c r="C1994" s="24"/>
      <c r="D1994" s="24"/>
      <c r="E1994" s="25"/>
    </row>
    <row r="1995">
      <c r="A1995" s="24"/>
      <c r="B1995" s="24"/>
      <c r="C1995" s="24"/>
      <c r="D1995" s="24"/>
      <c r="E1995" s="25"/>
    </row>
    <row r="1996">
      <c r="A1996" s="24"/>
      <c r="B1996" s="24"/>
      <c r="C1996" s="24"/>
      <c r="D1996" s="24"/>
      <c r="E1996" s="25"/>
    </row>
    <row r="1997">
      <c r="A1997" s="24"/>
      <c r="B1997" s="24"/>
      <c r="C1997" s="24"/>
      <c r="D1997" s="24"/>
      <c r="E1997" s="25"/>
    </row>
    <row r="1998">
      <c r="A1998" s="24"/>
      <c r="B1998" s="24"/>
      <c r="C1998" s="24"/>
      <c r="D1998" s="24"/>
      <c r="E1998" s="25"/>
    </row>
    <row r="1999">
      <c r="A1999" s="24"/>
      <c r="B1999" s="24"/>
      <c r="C1999" s="24"/>
      <c r="D1999" s="24"/>
      <c r="E1999" s="25"/>
    </row>
    <row r="2000">
      <c r="A2000" s="24"/>
      <c r="B2000" s="24"/>
      <c r="C2000" s="24"/>
      <c r="D2000" s="24"/>
      <c r="E2000" s="25"/>
    </row>
    <row r="2001">
      <c r="A2001" s="24"/>
      <c r="B2001" s="24"/>
      <c r="C2001" s="24"/>
      <c r="D2001" s="24"/>
      <c r="E2001" s="25"/>
    </row>
    <row r="2002">
      <c r="A2002" s="24"/>
      <c r="B2002" s="24"/>
      <c r="C2002" s="24"/>
      <c r="D2002" s="24"/>
      <c r="E2002" s="25"/>
    </row>
    <row r="2003">
      <c r="A2003" s="24"/>
      <c r="B2003" s="24"/>
      <c r="C2003" s="24"/>
      <c r="D2003" s="24"/>
      <c r="E2003" s="25"/>
    </row>
    <row r="2004">
      <c r="A2004" s="24"/>
      <c r="B2004" s="24"/>
      <c r="C2004" s="24"/>
      <c r="D2004" s="24"/>
      <c r="E2004" s="25"/>
    </row>
    <row r="2005">
      <c r="A2005" s="24"/>
      <c r="B2005" s="24"/>
      <c r="C2005" s="24"/>
      <c r="D2005" s="24"/>
      <c r="E2005" s="25"/>
    </row>
    <row r="2006">
      <c r="A2006" s="24"/>
      <c r="B2006" s="24"/>
      <c r="C2006" s="24"/>
      <c r="D2006" s="24"/>
      <c r="E2006" s="25"/>
    </row>
    <row r="2007">
      <c r="A2007" s="24"/>
      <c r="B2007" s="24"/>
      <c r="C2007" s="24"/>
      <c r="D2007" s="24"/>
      <c r="E2007" s="25"/>
    </row>
    <row r="2008">
      <c r="A2008" s="24"/>
      <c r="B2008" s="24"/>
      <c r="C2008" s="24"/>
      <c r="D2008" s="24"/>
      <c r="E2008" s="25"/>
    </row>
    <row r="2009">
      <c r="A2009" s="24"/>
      <c r="B2009" s="24"/>
      <c r="C2009" s="24"/>
      <c r="D2009" s="24"/>
      <c r="E2009" s="25"/>
    </row>
    <row r="2010">
      <c r="A2010" s="24"/>
      <c r="B2010" s="24"/>
      <c r="C2010" s="24"/>
      <c r="D2010" s="24"/>
      <c r="E2010" s="25"/>
    </row>
    <row r="2011">
      <c r="A2011" s="24"/>
      <c r="B2011" s="24"/>
      <c r="C2011" s="24"/>
      <c r="D2011" s="24"/>
      <c r="E2011" s="25"/>
    </row>
  </sheetData>
  <dataValidations>
    <dataValidation type="custom" allowBlank="1" showDropDown="1" sqref="E2:E19">
      <formula1>OR(NOT(ISERROR(DATEVALUE(E2))), AND(ISNUMBER(E2), LEFT(CELL("format", E2))="D"))</formula1>
    </dataValidation>
    <dataValidation allowBlank="1" showDropDown="1" sqref="C2:C19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3" width="14.75"/>
    <col customWidth="1" min="4" max="4" width="22.63"/>
    <col customWidth="1" min="5" max="5" width="16.63"/>
    <col customWidth="1" min="6" max="6" width="17.63"/>
    <col customWidth="1" min="7" max="7" width="16.63"/>
    <col customWidth="1" min="8" max="8" width="20.13"/>
    <col customWidth="1" min="9" max="10" width="22.63"/>
    <col customWidth="1" min="11" max="11" width="14.0"/>
    <col customWidth="1" min="12" max="12" width="23.25"/>
    <col customWidth="1" min="13" max="13" width="59.5"/>
    <col customWidth="1" min="14" max="14" width="27.13"/>
    <col customWidth="1" min="15" max="15" width="24.75"/>
    <col customWidth="1" min="16" max="16" width="22.88"/>
    <col customWidth="1" min="17" max="17" width="23.25"/>
    <col customWidth="1" min="18" max="18" width="20.63"/>
    <col customWidth="1" min="19" max="19" width="22.0"/>
    <col customWidth="1" min="20" max="20" width="17.63"/>
    <col customWidth="1" min="21" max="21" width="24.25"/>
  </cols>
  <sheetData>
    <row r="1" ht="22.5" customHeight="1">
      <c r="A1" s="2" t="s">
        <v>21</v>
      </c>
      <c r="B1" s="2" t="s">
        <v>27</v>
      </c>
      <c r="C1" s="5" t="s">
        <v>1</v>
      </c>
      <c r="D1" s="2" t="s">
        <v>32</v>
      </c>
      <c r="E1" s="5" t="s">
        <v>35</v>
      </c>
      <c r="F1" s="5" t="s">
        <v>38</v>
      </c>
      <c r="G1" s="5" t="s">
        <v>4</v>
      </c>
      <c r="H1" s="5" t="s">
        <v>7</v>
      </c>
      <c r="I1" s="2" t="s">
        <v>43</v>
      </c>
      <c r="J1" s="2" t="s">
        <v>45</v>
      </c>
      <c r="K1" s="5" t="s">
        <v>50</v>
      </c>
      <c r="L1" s="5" t="s">
        <v>54</v>
      </c>
      <c r="M1" s="5" t="s">
        <v>58</v>
      </c>
      <c r="N1" s="5" t="s">
        <v>59</v>
      </c>
      <c r="O1" s="5" t="s">
        <v>61</v>
      </c>
      <c r="P1" s="5" t="s">
        <v>65</v>
      </c>
      <c r="Q1" s="5" t="s">
        <v>68</v>
      </c>
      <c r="R1" s="5" t="s">
        <v>69</v>
      </c>
      <c r="S1" s="5" t="s">
        <v>71</v>
      </c>
      <c r="T1" s="5" t="s">
        <v>74</v>
      </c>
      <c r="U1" s="5" t="s">
        <v>77</v>
      </c>
    </row>
    <row r="2" ht="22.5" customHeight="1">
      <c r="A2" s="7" t="s">
        <v>79</v>
      </c>
      <c r="B2" s="7" t="s">
        <v>82</v>
      </c>
      <c r="C2" s="8" t="s">
        <v>13</v>
      </c>
      <c r="D2" s="12" t="s">
        <v>83</v>
      </c>
      <c r="E2" s="16" t="str">
        <f t="array" ref="E2">_xlfn.XLOOKUP(D2, Employees[Employee ID], Employees[Name], "")</f>
        <v/>
      </c>
      <c r="F2" s="8" t="s">
        <v>14</v>
      </c>
      <c r="G2" s="8">
        <v>8.253650001E9</v>
      </c>
      <c r="H2" s="8" t="s">
        <v>17</v>
      </c>
      <c r="I2" s="18">
        <v>80.0</v>
      </c>
      <c r="J2" s="19" t="s">
        <v>114</v>
      </c>
      <c r="K2" s="17">
        <v>3.0</v>
      </c>
      <c r="L2" s="11">
        <v>46227.0</v>
      </c>
      <c r="M2" s="8" t="s">
        <v>117</v>
      </c>
      <c r="N2" s="10"/>
      <c r="O2" s="21"/>
      <c r="P2" s="20"/>
      <c r="R2" s="11"/>
      <c r="S2" s="22"/>
      <c r="T2" s="22"/>
      <c r="U2" s="23" t="s">
        <v>128</v>
      </c>
    </row>
    <row r="3" ht="22.5" customHeight="1">
      <c r="A3" s="7" t="s">
        <v>136</v>
      </c>
      <c r="B3" s="7" t="s">
        <v>130</v>
      </c>
      <c r="C3" s="8" t="s">
        <v>28</v>
      </c>
      <c r="D3" s="12" t="s">
        <v>158</v>
      </c>
      <c r="E3" s="16" t="str">
        <f t="array" ref="E3">_xlfn.XLOOKUP(D3, Employees[Employee ID], Employees[Name], "")</f>
        <v>Paul T</v>
      </c>
      <c r="F3" s="8" t="s">
        <v>23</v>
      </c>
      <c r="G3" s="8">
        <v>8.253650002E9</v>
      </c>
      <c r="H3" s="8" t="s">
        <v>25</v>
      </c>
      <c r="I3" s="18">
        <v>40.0</v>
      </c>
      <c r="J3" s="19" t="s">
        <v>169</v>
      </c>
      <c r="K3" s="17">
        <v>5.0</v>
      </c>
      <c r="L3" s="11">
        <v>46227.0</v>
      </c>
      <c r="M3" s="8" t="s">
        <v>137</v>
      </c>
      <c r="N3" s="11">
        <v>46231.0</v>
      </c>
      <c r="O3" s="21">
        <v>46231.375</v>
      </c>
      <c r="P3" s="26">
        <v>0.08333333333333333</v>
      </c>
      <c r="Q3" s="8" t="s">
        <v>175</v>
      </c>
      <c r="R3" s="11"/>
      <c r="S3" s="22"/>
      <c r="T3" s="22"/>
      <c r="U3" s="23" t="s">
        <v>128</v>
      </c>
    </row>
    <row r="4" ht="22.5" customHeight="1">
      <c r="A4" s="7" t="s">
        <v>176</v>
      </c>
      <c r="B4" s="7" t="s">
        <v>174</v>
      </c>
      <c r="C4" s="8" t="s">
        <v>49</v>
      </c>
      <c r="D4" s="12" t="s">
        <v>185</v>
      </c>
      <c r="E4" s="16" t="str">
        <f t="array" ref="E4">_xlfn.XLOOKUP(D4, Employees[Employee ID], Employees[Name], "")</f>
        <v>Jack S</v>
      </c>
      <c r="F4" s="8" t="s">
        <v>48</v>
      </c>
      <c r="G4" s="8">
        <v>8.25365308E9</v>
      </c>
      <c r="H4" s="8" t="s">
        <v>52</v>
      </c>
      <c r="I4" s="18">
        <v>120.0</v>
      </c>
      <c r="J4" s="19" t="s">
        <v>196</v>
      </c>
      <c r="K4" s="17">
        <v>1.0</v>
      </c>
      <c r="L4" s="11">
        <v>46227.0</v>
      </c>
      <c r="M4" s="8" t="s">
        <v>177</v>
      </c>
      <c r="N4" s="11">
        <v>46238.0</v>
      </c>
      <c r="O4" s="21">
        <v>46238.458333333336</v>
      </c>
      <c r="P4" s="26">
        <v>0.020833333333333332</v>
      </c>
      <c r="Q4" s="8" t="s">
        <v>199</v>
      </c>
      <c r="R4" s="11"/>
      <c r="S4" s="22"/>
      <c r="T4" s="22"/>
      <c r="U4" s="23" t="s">
        <v>128</v>
      </c>
    </row>
    <row r="5" ht="22.5" customHeight="1">
      <c r="A5" s="7" t="s">
        <v>187</v>
      </c>
      <c r="B5" s="7" t="s">
        <v>186</v>
      </c>
      <c r="C5" s="8" t="s">
        <v>78</v>
      </c>
      <c r="D5" s="12" t="s">
        <v>207</v>
      </c>
      <c r="E5" s="16" t="str">
        <f t="array" ref="E5">_xlfn.XLOOKUP(D5, Employees[Employee ID], Employees[Name], "")</f>
        <v>Emma T</v>
      </c>
      <c r="F5" s="8" t="s">
        <v>70</v>
      </c>
      <c r="G5" s="8">
        <v>8.253658888E9</v>
      </c>
      <c r="H5" s="8" t="s">
        <v>73</v>
      </c>
      <c r="I5" s="18">
        <v>50.0</v>
      </c>
      <c r="J5" s="19" t="s">
        <v>212</v>
      </c>
      <c r="K5" s="17">
        <v>4.0</v>
      </c>
      <c r="L5" s="11">
        <v>46227.0</v>
      </c>
      <c r="M5" s="8" t="s">
        <v>214</v>
      </c>
      <c r="N5" s="11">
        <v>46233.0</v>
      </c>
      <c r="O5" s="21">
        <v>46233.625</v>
      </c>
      <c r="P5" s="26">
        <v>0.041666666666666664</v>
      </c>
      <c r="Q5" s="8" t="s">
        <v>217</v>
      </c>
      <c r="R5" s="11">
        <v>46228.0</v>
      </c>
      <c r="S5" s="22"/>
      <c r="T5" s="22"/>
      <c r="U5" s="23" t="s">
        <v>221</v>
      </c>
    </row>
    <row r="6" ht="22.5" customHeight="1">
      <c r="A6" s="13" t="s">
        <v>192</v>
      </c>
      <c r="B6" s="13" t="s">
        <v>190</v>
      </c>
      <c r="C6" s="13" t="s">
        <v>84</v>
      </c>
      <c r="D6" s="27" t="s">
        <v>228</v>
      </c>
      <c r="E6" s="13" t="s">
        <v>229</v>
      </c>
      <c r="F6" s="13" t="s">
        <v>85</v>
      </c>
      <c r="G6" s="13">
        <v>8.255550107E9</v>
      </c>
      <c r="H6" s="13" t="s">
        <v>88</v>
      </c>
      <c r="I6" s="32">
        <v>145.0</v>
      </c>
      <c r="J6" s="27" t="s">
        <v>212</v>
      </c>
      <c r="K6" s="27">
        <v>4.0</v>
      </c>
      <c r="L6" s="15">
        <v>46248.0</v>
      </c>
      <c r="M6" s="13" t="s">
        <v>195</v>
      </c>
      <c r="N6" s="15">
        <v>46251.0</v>
      </c>
      <c r="O6" s="33">
        <v>46251.416666666664</v>
      </c>
      <c r="P6" s="34">
        <v>0.041666666666666664</v>
      </c>
      <c r="Q6" s="13" t="s">
        <v>236</v>
      </c>
      <c r="R6" s="15">
        <v>46251.0</v>
      </c>
      <c r="S6" s="28">
        <v>46251.0</v>
      </c>
      <c r="T6" s="13" t="s">
        <v>238</v>
      </c>
      <c r="U6" s="14" t="s">
        <v>221</v>
      </c>
    </row>
    <row r="7" ht="22.5" customHeight="1">
      <c r="A7" s="13" t="s">
        <v>200</v>
      </c>
      <c r="B7" s="13" t="s">
        <v>197</v>
      </c>
      <c r="C7" s="13" t="s">
        <v>89</v>
      </c>
      <c r="D7" s="27" t="s">
        <v>242</v>
      </c>
      <c r="E7" s="13" t="s">
        <v>244</v>
      </c>
      <c r="F7" s="13" t="s">
        <v>90</v>
      </c>
      <c r="G7" s="13">
        <v>8.255550108E9</v>
      </c>
      <c r="H7" s="13" t="s">
        <v>98</v>
      </c>
      <c r="I7" s="32">
        <v>185.0</v>
      </c>
      <c r="J7" s="27" t="s">
        <v>212</v>
      </c>
      <c r="K7" s="27">
        <v>3.0</v>
      </c>
      <c r="L7" s="15">
        <v>46253.0</v>
      </c>
      <c r="M7" s="13" t="s">
        <v>201</v>
      </c>
      <c r="N7" s="15">
        <v>46254.0</v>
      </c>
      <c r="O7" s="33">
        <v>46254.541666666664</v>
      </c>
      <c r="P7" s="34">
        <v>0.08333333333333333</v>
      </c>
      <c r="Q7" s="13" t="s">
        <v>248</v>
      </c>
      <c r="R7" s="15">
        <v>46254.0</v>
      </c>
      <c r="S7" s="28">
        <v>46254.0</v>
      </c>
      <c r="T7" s="13" t="s">
        <v>251</v>
      </c>
      <c r="U7" s="14" t="s">
        <v>221</v>
      </c>
    </row>
    <row r="8" ht="22.5" customHeight="1">
      <c r="A8" s="13" t="s">
        <v>204</v>
      </c>
      <c r="B8" s="13" t="s">
        <v>202</v>
      </c>
      <c r="C8" s="13" t="s">
        <v>100</v>
      </c>
      <c r="D8" s="27" t="s">
        <v>256</v>
      </c>
      <c r="E8" s="13" t="s">
        <v>258</v>
      </c>
      <c r="F8" s="13" t="s">
        <v>102</v>
      </c>
      <c r="G8" s="13">
        <v>8.255550109E9</v>
      </c>
      <c r="H8" s="13" t="s">
        <v>109</v>
      </c>
      <c r="I8" s="32">
        <v>260.0</v>
      </c>
      <c r="J8" s="27" t="s">
        <v>212</v>
      </c>
      <c r="K8" s="27">
        <v>5.0</v>
      </c>
      <c r="L8" s="15">
        <v>46258.0</v>
      </c>
      <c r="M8" s="13" t="s">
        <v>205</v>
      </c>
      <c r="N8" s="15">
        <v>46262.0</v>
      </c>
      <c r="O8" s="33">
        <v>46262.395833333336</v>
      </c>
      <c r="P8" s="34">
        <v>0.041666666666666664</v>
      </c>
      <c r="Q8" s="13" t="s">
        <v>261</v>
      </c>
      <c r="R8" s="15">
        <v>46262.0</v>
      </c>
      <c r="S8" s="28">
        <v>46262.0</v>
      </c>
      <c r="T8" s="13" t="s">
        <v>264</v>
      </c>
      <c r="U8" s="14" t="s">
        <v>221</v>
      </c>
    </row>
    <row r="9" ht="22.5" customHeight="1">
      <c r="A9" s="13" t="s">
        <v>216</v>
      </c>
      <c r="B9" s="13" t="s">
        <v>213</v>
      </c>
      <c r="C9" s="13" t="s">
        <v>40</v>
      </c>
      <c r="D9" s="27" t="s">
        <v>270</v>
      </c>
      <c r="E9" s="13" t="s">
        <v>272</v>
      </c>
      <c r="F9" s="13" t="s">
        <v>33</v>
      </c>
      <c r="G9" s="13">
        <v>8.253653003E9</v>
      </c>
      <c r="H9" s="13" t="s">
        <v>36</v>
      </c>
      <c r="I9" s="32">
        <v>210.0</v>
      </c>
      <c r="J9" s="27" t="s">
        <v>212</v>
      </c>
      <c r="K9" s="27">
        <v>2.0</v>
      </c>
      <c r="L9" s="15">
        <v>46264.0</v>
      </c>
      <c r="M9" s="13" t="s">
        <v>219</v>
      </c>
      <c r="N9" s="15">
        <v>46265.0</v>
      </c>
      <c r="O9" s="33">
        <v>46265.458333333336</v>
      </c>
      <c r="P9" s="34">
        <v>0.020833333333333332</v>
      </c>
      <c r="Q9" s="13" t="s">
        <v>277</v>
      </c>
      <c r="R9" s="15">
        <v>46265.0</v>
      </c>
      <c r="S9" s="28">
        <v>46265.0</v>
      </c>
      <c r="T9" s="13" t="s">
        <v>279</v>
      </c>
      <c r="U9" s="14" t="s">
        <v>221</v>
      </c>
    </row>
    <row r="10" ht="22.5" customHeight="1">
      <c r="A10" s="13" t="s">
        <v>224</v>
      </c>
      <c r="B10" s="13" t="s">
        <v>222</v>
      </c>
      <c r="C10" s="13" t="s">
        <v>119</v>
      </c>
      <c r="D10" s="27" t="s">
        <v>284</v>
      </c>
      <c r="E10" s="13" t="s">
        <v>285</v>
      </c>
      <c r="F10" s="13" t="s">
        <v>120</v>
      </c>
      <c r="G10" s="13">
        <v>8.255550111E9</v>
      </c>
      <c r="H10" s="13" t="s">
        <v>123</v>
      </c>
      <c r="I10" s="32">
        <v>125.0</v>
      </c>
      <c r="J10" s="27" t="s">
        <v>169</v>
      </c>
      <c r="K10" s="27">
        <v>4.0</v>
      </c>
      <c r="L10" s="15">
        <v>46267.0</v>
      </c>
      <c r="M10" s="13" t="s">
        <v>225</v>
      </c>
      <c r="N10" s="15">
        <v>46272.0</v>
      </c>
      <c r="O10" s="33">
        <v>46272.4375</v>
      </c>
      <c r="P10" s="34">
        <v>0.16666666666666666</v>
      </c>
      <c r="Q10" s="13" t="s">
        <v>294</v>
      </c>
      <c r="R10" s="35"/>
      <c r="S10" s="29"/>
      <c r="T10" s="29"/>
      <c r="U10" s="14" t="s">
        <v>221</v>
      </c>
    </row>
    <row r="11" ht="22.5" customHeight="1">
      <c r="A11" s="13" t="s">
        <v>234</v>
      </c>
      <c r="B11" s="13" t="s">
        <v>232</v>
      </c>
      <c r="C11" s="13" t="s">
        <v>131</v>
      </c>
      <c r="D11" s="27" t="s">
        <v>185</v>
      </c>
      <c r="E11" s="13" t="s">
        <v>303</v>
      </c>
      <c r="F11" s="13" t="s">
        <v>132</v>
      </c>
      <c r="G11" s="13">
        <v>8.255550113E9</v>
      </c>
      <c r="H11" s="13" t="s">
        <v>135</v>
      </c>
      <c r="I11" s="32">
        <v>390.0</v>
      </c>
      <c r="J11" s="27" t="s">
        <v>212</v>
      </c>
      <c r="K11" s="27">
        <v>1.0</v>
      </c>
      <c r="L11" s="15">
        <v>46268.0</v>
      </c>
      <c r="M11" s="13" t="s">
        <v>237</v>
      </c>
      <c r="N11" s="15">
        <v>46268.0</v>
      </c>
      <c r="O11" s="33">
        <v>46268.583333333336</v>
      </c>
      <c r="P11" s="34">
        <v>0.041666666666666664</v>
      </c>
      <c r="Q11" s="13" t="s">
        <v>308</v>
      </c>
      <c r="R11" s="15">
        <v>46268.0</v>
      </c>
      <c r="S11" s="28">
        <v>46268.0</v>
      </c>
      <c r="T11" s="13" t="s">
        <v>309</v>
      </c>
      <c r="U11" s="14" t="s">
        <v>221</v>
      </c>
    </row>
    <row r="12" ht="22.5" customHeight="1">
      <c r="A12" s="13" t="s">
        <v>246</v>
      </c>
      <c r="B12" s="13" t="s">
        <v>243</v>
      </c>
      <c r="C12" s="13" t="s">
        <v>63</v>
      </c>
      <c r="D12" s="27" t="s">
        <v>158</v>
      </c>
      <c r="E12" s="13" t="s">
        <v>310</v>
      </c>
      <c r="F12" s="13" t="s">
        <v>60</v>
      </c>
      <c r="G12" s="13">
        <v>8.253653007E9</v>
      </c>
      <c r="H12" s="13" t="s">
        <v>64</v>
      </c>
      <c r="I12" s="32">
        <v>230.0</v>
      </c>
      <c r="J12" s="27" t="s">
        <v>169</v>
      </c>
      <c r="K12" s="27">
        <v>2.0</v>
      </c>
      <c r="L12" s="15">
        <v>46269.0</v>
      </c>
      <c r="M12" s="13" t="s">
        <v>247</v>
      </c>
      <c r="N12" s="15">
        <v>46271.0</v>
      </c>
      <c r="O12" s="33">
        <v>46271.5</v>
      </c>
      <c r="P12" s="34">
        <v>0.08333333333333333</v>
      </c>
      <c r="Q12" s="13" t="s">
        <v>313</v>
      </c>
      <c r="R12" s="35"/>
      <c r="S12" s="29"/>
      <c r="T12" s="13" t="s">
        <v>316</v>
      </c>
      <c r="U12" s="14" t="s">
        <v>221</v>
      </c>
    </row>
    <row r="13" ht="22.5" customHeight="1">
      <c r="A13" s="13" t="s">
        <v>255</v>
      </c>
      <c r="B13" s="13" t="s">
        <v>253</v>
      </c>
      <c r="C13" s="13" t="s">
        <v>149</v>
      </c>
      <c r="D13" s="27" t="s">
        <v>207</v>
      </c>
      <c r="E13" s="13" t="s">
        <v>320</v>
      </c>
      <c r="F13" s="13" t="s">
        <v>150</v>
      </c>
      <c r="G13" s="13">
        <v>8.255550116E9</v>
      </c>
      <c r="H13" s="13" t="s">
        <v>153</v>
      </c>
      <c r="I13" s="32">
        <v>175.0</v>
      </c>
      <c r="J13" s="27" t="s">
        <v>212</v>
      </c>
      <c r="K13" s="27">
        <v>5.0</v>
      </c>
      <c r="L13" s="15">
        <v>46271.0</v>
      </c>
      <c r="M13" s="13" t="s">
        <v>257</v>
      </c>
      <c r="N13" s="15">
        <v>46273.0</v>
      </c>
      <c r="O13" s="33">
        <v>46273.625</v>
      </c>
      <c r="P13" s="34">
        <v>0.041666666666666664</v>
      </c>
      <c r="Q13" s="13" t="s">
        <v>327</v>
      </c>
      <c r="R13" s="35"/>
      <c r="S13" s="29"/>
      <c r="T13" s="29"/>
      <c r="U13" s="14" t="s">
        <v>221</v>
      </c>
    </row>
    <row r="14" ht="22.5" customHeight="1">
      <c r="A14" s="13" t="s">
        <v>267</v>
      </c>
      <c r="B14" s="13" t="s">
        <v>265</v>
      </c>
      <c r="C14" s="13" t="s">
        <v>154</v>
      </c>
      <c r="D14" s="27" t="s">
        <v>324</v>
      </c>
      <c r="E14" s="13" t="s">
        <v>325</v>
      </c>
      <c r="F14" s="13" t="s">
        <v>155</v>
      </c>
      <c r="G14" s="13">
        <v>8.255550117E9</v>
      </c>
      <c r="H14" s="13" t="s">
        <v>160</v>
      </c>
      <c r="I14" s="32">
        <v>320.0</v>
      </c>
      <c r="J14" s="27" t="s">
        <v>212</v>
      </c>
      <c r="K14" s="27">
        <v>1.0</v>
      </c>
      <c r="L14" s="15">
        <v>46271.0</v>
      </c>
      <c r="M14" s="13" t="s">
        <v>269</v>
      </c>
      <c r="N14" s="15">
        <v>46271.0</v>
      </c>
      <c r="O14" s="33">
        <v>46271.604166666664</v>
      </c>
      <c r="P14" s="34">
        <v>0.08333333333333333</v>
      </c>
      <c r="Q14" s="13" t="s">
        <v>337</v>
      </c>
      <c r="R14" s="35"/>
      <c r="S14" s="29"/>
      <c r="T14" s="13" t="s">
        <v>338</v>
      </c>
      <c r="U14" s="14" t="s">
        <v>221</v>
      </c>
    </row>
    <row r="15" ht="22.5" customHeight="1">
      <c r="A15" s="13" t="s">
        <v>274</v>
      </c>
      <c r="B15" s="13" t="s">
        <v>271</v>
      </c>
      <c r="C15" s="13" t="s">
        <v>161</v>
      </c>
      <c r="D15" s="27" t="s">
        <v>328</v>
      </c>
      <c r="E15" s="13" t="s">
        <v>329</v>
      </c>
      <c r="F15" s="13" t="s">
        <v>162</v>
      </c>
      <c r="G15" s="13">
        <v>8.255550118E9</v>
      </c>
      <c r="H15" s="13" t="s">
        <v>167</v>
      </c>
      <c r="I15" s="32">
        <v>160.0</v>
      </c>
      <c r="J15" s="27" t="s">
        <v>114</v>
      </c>
      <c r="K15" s="27">
        <v>2.0</v>
      </c>
      <c r="L15" s="15">
        <v>46271.0</v>
      </c>
      <c r="M15" s="13" t="s">
        <v>275</v>
      </c>
      <c r="N15" s="15">
        <v>46271.0</v>
      </c>
      <c r="O15" s="33">
        <v>46271.666666666664</v>
      </c>
      <c r="P15" s="34">
        <v>0.020833333333333332</v>
      </c>
      <c r="Q15" s="13" t="s">
        <v>339</v>
      </c>
      <c r="R15" s="35"/>
      <c r="S15" s="29"/>
      <c r="T15" s="29"/>
      <c r="U15" s="14" t="s">
        <v>128</v>
      </c>
    </row>
    <row r="16" ht="22.5" customHeight="1">
      <c r="A16" s="13" t="s">
        <v>301</v>
      </c>
      <c r="B16" s="13" t="s">
        <v>299</v>
      </c>
      <c r="C16" s="13" t="s">
        <v>131</v>
      </c>
      <c r="D16" s="27" t="s">
        <v>331</v>
      </c>
      <c r="E16" s="13" t="s">
        <v>332</v>
      </c>
      <c r="F16" s="13" t="s">
        <v>132</v>
      </c>
      <c r="G16" s="13">
        <v>8.255550113E9</v>
      </c>
      <c r="H16" s="13" t="s">
        <v>135</v>
      </c>
      <c r="I16" s="32">
        <v>135.0</v>
      </c>
      <c r="J16" s="27" t="s">
        <v>212</v>
      </c>
      <c r="K16" s="27">
        <v>4.0</v>
      </c>
      <c r="L16" s="15">
        <v>46255.0</v>
      </c>
      <c r="M16" s="13" t="s">
        <v>302</v>
      </c>
      <c r="N16" s="15">
        <v>46256.0</v>
      </c>
      <c r="O16" s="33">
        <v>46256.479166666664</v>
      </c>
      <c r="P16" s="34">
        <v>0.08333333333333333</v>
      </c>
      <c r="Q16" s="13" t="s">
        <v>340</v>
      </c>
      <c r="R16" s="15">
        <v>46256.0</v>
      </c>
      <c r="S16" s="28">
        <v>46256.0</v>
      </c>
      <c r="T16" s="13" t="s">
        <v>341</v>
      </c>
      <c r="U16" s="14" t="s">
        <v>221</v>
      </c>
    </row>
    <row r="17" ht="22.5" customHeight="1">
      <c r="A17" s="13" t="s">
        <v>306</v>
      </c>
      <c r="B17" s="13" t="s">
        <v>304</v>
      </c>
      <c r="C17" s="13" t="s">
        <v>89</v>
      </c>
      <c r="D17" s="27" t="s">
        <v>334</v>
      </c>
      <c r="E17" s="13" t="s">
        <v>335</v>
      </c>
      <c r="F17" s="13" t="s">
        <v>90</v>
      </c>
      <c r="G17" s="13">
        <v>8.255550108E9</v>
      </c>
      <c r="H17" s="13" t="s">
        <v>98</v>
      </c>
      <c r="I17" s="32">
        <v>195.0</v>
      </c>
      <c r="J17" s="27" t="s">
        <v>169</v>
      </c>
      <c r="K17" s="27">
        <v>5.0</v>
      </c>
      <c r="L17" s="15">
        <v>46261.0</v>
      </c>
      <c r="M17" s="13" t="s">
        <v>307</v>
      </c>
      <c r="N17" s="15">
        <v>46274.0</v>
      </c>
      <c r="O17" s="33">
        <v>46274.375</v>
      </c>
      <c r="P17" s="34">
        <v>0.3333333333333333</v>
      </c>
      <c r="Q17" s="13" t="s">
        <v>342</v>
      </c>
      <c r="R17" s="35"/>
      <c r="S17" s="29"/>
      <c r="T17" s="29"/>
      <c r="U17" s="14" t="s">
        <v>221</v>
      </c>
    </row>
    <row r="18" ht="22.5" customHeight="1">
      <c r="A18" s="13" t="s">
        <v>343</v>
      </c>
      <c r="B18" s="13" t="s">
        <v>208</v>
      </c>
      <c r="C18" s="13" t="s">
        <v>110</v>
      </c>
      <c r="D18" s="27" t="s">
        <v>83</v>
      </c>
      <c r="E18" s="29"/>
      <c r="F18" s="13" t="s">
        <v>111</v>
      </c>
      <c r="G18" s="13">
        <v>8.25555011E9</v>
      </c>
      <c r="H18" s="13" t="s">
        <v>116</v>
      </c>
      <c r="I18" s="32">
        <v>250.0</v>
      </c>
      <c r="J18" s="27" t="s">
        <v>196</v>
      </c>
      <c r="K18" s="27">
        <v>4.0</v>
      </c>
      <c r="L18" s="15">
        <v>46262.0</v>
      </c>
      <c r="M18" s="13" t="s">
        <v>211</v>
      </c>
      <c r="N18" s="35"/>
      <c r="O18" s="38"/>
      <c r="P18" s="39"/>
      <c r="Q18" s="30"/>
      <c r="R18" s="35"/>
      <c r="S18" s="29"/>
      <c r="T18" s="13" t="s">
        <v>344</v>
      </c>
      <c r="U18" s="14" t="s">
        <v>128</v>
      </c>
    </row>
    <row r="19" ht="22.5" customHeight="1">
      <c r="A19" s="13" t="s">
        <v>345</v>
      </c>
      <c r="B19" s="13" t="s">
        <v>239</v>
      </c>
      <c r="C19" s="13" t="s">
        <v>138</v>
      </c>
      <c r="D19" s="27" t="s">
        <v>228</v>
      </c>
      <c r="E19" s="13" t="s">
        <v>229</v>
      </c>
      <c r="F19" s="13" t="s">
        <v>139</v>
      </c>
      <c r="G19" s="13">
        <v>8.255550114E9</v>
      </c>
      <c r="H19" s="13" t="s">
        <v>143</v>
      </c>
      <c r="I19" s="32">
        <v>1650.0</v>
      </c>
      <c r="J19" s="27" t="s">
        <v>114</v>
      </c>
      <c r="K19" s="27">
        <v>5.0</v>
      </c>
      <c r="L19" s="15">
        <v>46270.0</v>
      </c>
      <c r="M19" s="13" t="s">
        <v>241</v>
      </c>
      <c r="N19" s="35"/>
      <c r="O19" s="38"/>
      <c r="P19" s="39"/>
      <c r="Q19" s="30"/>
      <c r="R19" s="35"/>
      <c r="S19" s="29"/>
      <c r="T19" s="13" t="s">
        <v>346</v>
      </c>
      <c r="U19" s="14" t="s">
        <v>128</v>
      </c>
    </row>
    <row r="20" ht="22.5" customHeight="1">
      <c r="A20" s="13" t="s">
        <v>347</v>
      </c>
      <c r="B20" s="13" t="s">
        <v>259</v>
      </c>
      <c r="C20" s="13" t="s">
        <v>84</v>
      </c>
      <c r="D20" s="27" t="s">
        <v>242</v>
      </c>
      <c r="E20" s="13" t="s">
        <v>244</v>
      </c>
      <c r="F20" s="13" t="s">
        <v>85</v>
      </c>
      <c r="G20" s="13">
        <v>8.255550107E9</v>
      </c>
      <c r="H20" s="13" t="s">
        <v>88</v>
      </c>
      <c r="I20" s="32">
        <v>155.0</v>
      </c>
      <c r="J20" s="27" t="s">
        <v>212</v>
      </c>
      <c r="K20" s="27">
        <v>4.0</v>
      </c>
      <c r="L20" s="15">
        <v>46271.0</v>
      </c>
      <c r="M20" s="13" t="s">
        <v>263</v>
      </c>
      <c r="N20" s="15">
        <v>46271.0</v>
      </c>
      <c r="O20" s="33">
        <v>46271.416666666664</v>
      </c>
      <c r="P20" s="34">
        <v>0.16666666666666666</v>
      </c>
      <c r="Q20" s="13" t="s">
        <v>348</v>
      </c>
      <c r="R20" s="35"/>
      <c r="S20" s="29"/>
      <c r="T20" s="13" t="s">
        <v>349</v>
      </c>
      <c r="U20" s="14" t="s">
        <v>221</v>
      </c>
    </row>
    <row r="21" ht="22.5" customHeight="1">
      <c r="A21" s="13" t="s">
        <v>350</v>
      </c>
      <c r="B21" s="13" t="s">
        <v>276</v>
      </c>
      <c r="C21" s="13" t="s">
        <v>100</v>
      </c>
      <c r="D21" s="27" t="s">
        <v>256</v>
      </c>
      <c r="E21" s="13" t="s">
        <v>258</v>
      </c>
      <c r="F21" s="13" t="s">
        <v>102</v>
      </c>
      <c r="G21" s="13">
        <v>8.255550109E9</v>
      </c>
      <c r="H21" s="13" t="s">
        <v>109</v>
      </c>
      <c r="I21" s="32">
        <v>480.0</v>
      </c>
      <c r="J21" s="27" t="s">
        <v>169</v>
      </c>
      <c r="K21" s="27">
        <v>5.0</v>
      </c>
      <c r="L21" s="15">
        <v>46271.0</v>
      </c>
      <c r="M21" s="13" t="s">
        <v>280</v>
      </c>
      <c r="N21" s="15">
        <v>46275.0</v>
      </c>
      <c r="O21" s="33">
        <v>46275.5625</v>
      </c>
      <c r="P21" s="34">
        <v>0.08333333333333333</v>
      </c>
      <c r="Q21" s="13" t="s">
        <v>351</v>
      </c>
      <c r="R21" s="35"/>
      <c r="S21" s="29"/>
      <c r="T21" s="29"/>
      <c r="U21" s="14" t="s">
        <v>221</v>
      </c>
    </row>
    <row r="22">
      <c r="A22" s="40"/>
      <c r="B22" s="40"/>
      <c r="D22" s="40"/>
      <c r="I22" s="41"/>
      <c r="J22" s="40"/>
      <c r="K22" s="40"/>
      <c r="O22" s="25"/>
      <c r="R22" s="25"/>
      <c r="U22" s="40"/>
    </row>
    <row r="23">
      <c r="A23" s="40"/>
      <c r="B23" s="40"/>
      <c r="D23" s="40"/>
      <c r="I23" s="41"/>
      <c r="J23" s="40"/>
      <c r="K23" s="40"/>
      <c r="O23" s="25"/>
      <c r="R23" s="25"/>
      <c r="U23" s="40"/>
    </row>
    <row r="24">
      <c r="A24" s="40"/>
      <c r="B24" s="40"/>
      <c r="D24" s="40"/>
      <c r="I24" s="41"/>
      <c r="J24" s="40"/>
      <c r="K24" s="40"/>
      <c r="O24" s="25"/>
      <c r="R24" s="25"/>
      <c r="U24" s="40"/>
    </row>
    <row r="25">
      <c r="A25" s="40"/>
      <c r="B25" s="40"/>
      <c r="D25" s="40"/>
      <c r="I25" s="41"/>
      <c r="J25" s="40"/>
      <c r="K25" s="40"/>
      <c r="O25" s="25"/>
      <c r="R25" s="25"/>
      <c r="U25" s="40"/>
    </row>
    <row r="26">
      <c r="A26" s="40"/>
      <c r="B26" s="40"/>
      <c r="D26" s="40"/>
      <c r="I26" s="41"/>
      <c r="J26" s="40"/>
      <c r="K26" s="40"/>
      <c r="O26" s="25"/>
      <c r="R26" s="25"/>
      <c r="U26" s="40"/>
    </row>
    <row r="27">
      <c r="A27" s="40"/>
      <c r="B27" s="40"/>
      <c r="D27" s="40"/>
      <c r="I27" s="41"/>
      <c r="J27" s="40"/>
      <c r="K27" s="40"/>
      <c r="O27" s="25"/>
      <c r="R27" s="25"/>
      <c r="U27" s="40"/>
    </row>
    <row r="28">
      <c r="A28" s="40"/>
      <c r="B28" s="40"/>
      <c r="D28" s="40"/>
      <c r="I28" s="41"/>
      <c r="J28" s="40"/>
      <c r="K28" s="40"/>
      <c r="O28" s="25"/>
      <c r="R28" s="25"/>
      <c r="U28" s="40"/>
    </row>
    <row r="29">
      <c r="A29" s="40"/>
      <c r="B29" s="40"/>
      <c r="D29" s="40"/>
      <c r="I29" s="41"/>
      <c r="J29" s="40"/>
      <c r="K29" s="40"/>
      <c r="O29" s="25"/>
      <c r="R29" s="25"/>
      <c r="U29" s="40"/>
    </row>
    <row r="30">
      <c r="A30" s="40"/>
      <c r="B30" s="40"/>
      <c r="D30" s="40"/>
      <c r="I30" s="41"/>
      <c r="J30" s="40"/>
      <c r="K30" s="40"/>
      <c r="O30" s="25"/>
      <c r="R30" s="25"/>
      <c r="U30" s="40"/>
    </row>
    <row r="31">
      <c r="A31" s="40"/>
      <c r="B31" s="40"/>
      <c r="D31" s="40"/>
      <c r="I31" s="41"/>
      <c r="J31" s="40"/>
      <c r="K31" s="40"/>
      <c r="O31" s="25"/>
      <c r="R31" s="25"/>
      <c r="U31" s="40"/>
    </row>
    <row r="32">
      <c r="A32" s="40"/>
      <c r="B32" s="40"/>
      <c r="D32" s="40"/>
      <c r="I32" s="41"/>
      <c r="J32" s="40"/>
      <c r="K32" s="40"/>
      <c r="O32" s="25"/>
      <c r="R32" s="25"/>
      <c r="U32" s="40"/>
    </row>
    <row r="33">
      <c r="A33" s="40"/>
      <c r="B33" s="40"/>
      <c r="D33" s="40"/>
      <c r="I33" s="41"/>
      <c r="J33" s="40"/>
      <c r="K33" s="40"/>
      <c r="O33" s="25"/>
      <c r="R33" s="25"/>
      <c r="U33" s="40"/>
    </row>
    <row r="34">
      <c r="A34" s="40"/>
      <c r="B34" s="40"/>
      <c r="D34" s="40"/>
      <c r="I34" s="41"/>
      <c r="J34" s="40"/>
      <c r="K34" s="40"/>
      <c r="O34" s="25"/>
      <c r="R34" s="25"/>
      <c r="U34" s="40"/>
    </row>
    <row r="35">
      <c r="A35" s="40"/>
      <c r="B35" s="40"/>
      <c r="D35" s="40"/>
      <c r="I35" s="41"/>
      <c r="J35" s="40"/>
      <c r="K35" s="40"/>
      <c r="O35" s="25"/>
      <c r="R35" s="25"/>
      <c r="U35" s="40"/>
    </row>
    <row r="36">
      <c r="A36" s="40"/>
      <c r="B36" s="40"/>
      <c r="D36" s="40"/>
      <c r="I36" s="41"/>
      <c r="J36" s="40"/>
      <c r="K36" s="40"/>
      <c r="O36" s="25"/>
      <c r="R36" s="25"/>
      <c r="U36" s="40"/>
    </row>
    <row r="37">
      <c r="A37" s="40"/>
      <c r="B37" s="40"/>
      <c r="D37" s="40"/>
      <c r="I37" s="41"/>
      <c r="J37" s="40"/>
      <c r="K37" s="40"/>
      <c r="O37" s="25"/>
      <c r="R37" s="25"/>
      <c r="U37" s="40"/>
    </row>
    <row r="38">
      <c r="A38" s="40"/>
      <c r="B38" s="40"/>
      <c r="D38" s="40"/>
      <c r="I38" s="41"/>
      <c r="J38" s="40"/>
      <c r="K38" s="40"/>
      <c r="O38" s="25"/>
      <c r="R38" s="25"/>
      <c r="U38" s="40"/>
    </row>
    <row r="39">
      <c r="A39" s="40"/>
      <c r="B39" s="40"/>
      <c r="D39" s="40"/>
      <c r="I39" s="41"/>
      <c r="J39" s="40"/>
      <c r="K39" s="40"/>
      <c r="O39" s="25"/>
      <c r="R39" s="25"/>
      <c r="U39" s="40"/>
    </row>
    <row r="40">
      <c r="A40" s="40"/>
      <c r="B40" s="40"/>
      <c r="D40" s="40"/>
      <c r="I40" s="41"/>
      <c r="J40" s="40"/>
      <c r="K40" s="40"/>
      <c r="O40" s="25"/>
      <c r="R40" s="25"/>
      <c r="U40" s="40"/>
    </row>
    <row r="41">
      <c r="A41" s="40"/>
      <c r="B41" s="40"/>
      <c r="D41" s="40"/>
      <c r="I41" s="41"/>
      <c r="J41" s="40"/>
      <c r="K41" s="40"/>
      <c r="O41" s="25"/>
      <c r="R41" s="25"/>
      <c r="U41" s="40"/>
    </row>
    <row r="42">
      <c r="A42" s="40"/>
      <c r="B42" s="40"/>
      <c r="D42" s="40"/>
      <c r="I42" s="41"/>
      <c r="J42" s="40"/>
      <c r="K42" s="40"/>
      <c r="O42" s="25"/>
      <c r="R42" s="25"/>
      <c r="U42" s="40"/>
    </row>
    <row r="43">
      <c r="A43" s="40"/>
      <c r="B43" s="40"/>
      <c r="D43" s="40"/>
      <c r="I43" s="41"/>
      <c r="J43" s="40"/>
      <c r="K43" s="40"/>
      <c r="O43" s="25"/>
      <c r="R43" s="25"/>
      <c r="U43" s="40"/>
    </row>
    <row r="44">
      <c r="A44" s="40"/>
      <c r="B44" s="40"/>
      <c r="D44" s="40"/>
      <c r="I44" s="41"/>
      <c r="J44" s="40"/>
      <c r="K44" s="40"/>
      <c r="O44" s="25"/>
      <c r="R44" s="25"/>
      <c r="U44" s="40"/>
    </row>
    <row r="45">
      <c r="A45" s="40"/>
      <c r="B45" s="40"/>
      <c r="D45" s="40"/>
      <c r="I45" s="41"/>
      <c r="J45" s="40"/>
      <c r="K45" s="40"/>
      <c r="O45" s="25"/>
      <c r="R45" s="25"/>
      <c r="U45" s="40"/>
    </row>
    <row r="46">
      <c r="A46" s="40"/>
      <c r="B46" s="40"/>
      <c r="D46" s="40"/>
      <c r="I46" s="41"/>
      <c r="J46" s="40"/>
      <c r="K46" s="40"/>
      <c r="O46" s="25"/>
      <c r="R46" s="25"/>
      <c r="U46" s="40"/>
    </row>
    <row r="47">
      <c r="A47" s="40"/>
      <c r="B47" s="40"/>
      <c r="D47" s="40"/>
      <c r="I47" s="41"/>
      <c r="J47" s="40"/>
      <c r="K47" s="40"/>
      <c r="O47" s="25"/>
      <c r="R47" s="25"/>
      <c r="U47" s="40"/>
    </row>
    <row r="48">
      <c r="A48" s="40"/>
      <c r="B48" s="40"/>
      <c r="D48" s="40"/>
      <c r="I48" s="41"/>
      <c r="J48" s="40"/>
      <c r="K48" s="40"/>
      <c r="O48" s="25"/>
      <c r="R48" s="25"/>
      <c r="U48" s="40"/>
    </row>
    <row r="49">
      <c r="A49" s="40"/>
      <c r="B49" s="40"/>
      <c r="D49" s="40"/>
      <c r="I49" s="41"/>
      <c r="J49" s="40"/>
      <c r="K49" s="40"/>
      <c r="O49" s="25"/>
      <c r="R49" s="25"/>
      <c r="U49" s="40"/>
    </row>
    <row r="50">
      <c r="A50" s="40"/>
      <c r="B50" s="40"/>
      <c r="D50" s="40"/>
      <c r="I50" s="41"/>
      <c r="J50" s="40"/>
      <c r="K50" s="40"/>
      <c r="O50" s="25"/>
      <c r="R50" s="25"/>
      <c r="U50" s="40"/>
    </row>
    <row r="51">
      <c r="A51" s="40"/>
      <c r="B51" s="40"/>
      <c r="D51" s="40"/>
      <c r="I51" s="41"/>
      <c r="J51" s="40"/>
      <c r="K51" s="40"/>
      <c r="O51" s="25"/>
      <c r="R51" s="25"/>
      <c r="U51" s="40"/>
    </row>
    <row r="52">
      <c r="A52" s="40"/>
      <c r="B52" s="40"/>
      <c r="D52" s="40"/>
      <c r="I52" s="41"/>
      <c r="J52" s="40"/>
      <c r="K52" s="40"/>
      <c r="O52" s="25"/>
      <c r="R52" s="25"/>
      <c r="U52" s="40"/>
    </row>
    <row r="53">
      <c r="A53" s="40"/>
      <c r="B53" s="40"/>
      <c r="D53" s="40"/>
      <c r="I53" s="41"/>
      <c r="J53" s="40"/>
      <c r="K53" s="40"/>
      <c r="O53" s="25"/>
      <c r="R53" s="25"/>
      <c r="U53" s="40"/>
    </row>
    <row r="54">
      <c r="A54" s="40"/>
      <c r="B54" s="40"/>
      <c r="D54" s="40"/>
      <c r="I54" s="41"/>
      <c r="J54" s="40"/>
      <c r="K54" s="40"/>
      <c r="O54" s="25"/>
      <c r="R54" s="25"/>
      <c r="U54" s="40"/>
    </row>
    <row r="55">
      <c r="A55" s="40"/>
      <c r="B55" s="40"/>
      <c r="D55" s="40"/>
      <c r="I55" s="41"/>
      <c r="J55" s="40"/>
      <c r="K55" s="40"/>
      <c r="O55" s="25"/>
      <c r="R55" s="25"/>
      <c r="U55" s="40"/>
    </row>
    <row r="56">
      <c r="A56" s="40"/>
      <c r="B56" s="40"/>
      <c r="D56" s="40"/>
      <c r="I56" s="41"/>
      <c r="J56" s="40"/>
      <c r="K56" s="40"/>
      <c r="O56" s="25"/>
      <c r="R56" s="25"/>
      <c r="U56" s="40"/>
    </row>
    <row r="57">
      <c r="A57" s="40"/>
      <c r="B57" s="40"/>
      <c r="D57" s="40"/>
      <c r="I57" s="41"/>
      <c r="J57" s="40"/>
      <c r="K57" s="40"/>
      <c r="O57" s="25"/>
      <c r="R57" s="25"/>
      <c r="U57" s="40"/>
    </row>
    <row r="58">
      <c r="A58" s="40"/>
      <c r="B58" s="40"/>
      <c r="D58" s="40"/>
      <c r="I58" s="41"/>
      <c r="J58" s="40"/>
      <c r="K58" s="40"/>
      <c r="O58" s="25"/>
      <c r="R58" s="25"/>
      <c r="U58" s="40"/>
    </row>
    <row r="59">
      <c r="A59" s="40"/>
      <c r="B59" s="40"/>
      <c r="D59" s="40"/>
      <c r="I59" s="41"/>
      <c r="J59" s="40"/>
      <c r="K59" s="40"/>
      <c r="O59" s="25"/>
      <c r="R59" s="25"/>
      <c r="U59" s="40"/>
    </row>
    <row r="60">
      <c r="A60" s="40"/>
      <c r="B60" s="40"/>
      <c r="D60" s="40"/>
      <c r="I60" s="41"/>
      <c r="J60" s="40"/>
      <c r="K60" s="40"/>
      <c r="O60" s="25"/>
      <c r="R60" s="25"/>
      <c r="U60" s="40"/>
    </row>
    <row r="61">
      <c r="A61" s="40"/>
      <c r="B61" s="40"/>
      <c r="D61" s="40"/>
      <c r="I61" s="41"/>
      <c r="J61" s="40"/>
      <c r="K61" s="40"/>
      <c r="O61" s="25"/>
      <c r="R61" s="25"/>
      <c r="U61" s="40"/>
    </row>
    <row r="62">
      <c r="A62" s="40"/>
      <c r="B62" s="40"/>
      <c r="D62" s="40"/>
      <c r="I62" s="41"/>
      <c r="J62" s="40"/>
      <c r="K62" s="40"/>
      <c r="O62" s="25"/>
      <c r="R62" s="25"/>
      <c r="U62" s="40"/>
    </row>
    <row r="63">
      <c r="A63" s="40"/>
      <c r="B63" s="40"/>
      <c r="D63" s="40"/>
      <c r="I63" s="41"/>
      <c r="J63" s="40"/>
      <c r="K63" s="40"/>
      <c r="O63" s="25"/>
      <c r="R63" s="25"/>
      <c r="U63" s="40"/>
    </row>
    <row r="64">
      <c r="A64" s="40"/>
      <c r="B64" s="40"/>
      <c r="D64" s="40"/>
      <c r="I64" s="41"/>
      <c r="J64" s="40"/>
      <c r="K64" s="40"/>
      <c r="O64" s="25"/>
      <c r="R64" s="25"/>
      <c r="U64" s="40"/>
    </row>
    <row r="65">
      <c r="A65" s="40"/>
      <c r="B65" s="40"/>
      <c r="D65" s="40"/>
      <c r="I65" s="41"/>
      <c r="J65" s="40"/>
      <c r="K65" s="40"/>
      <c r="O65" s="25"/>
      <c r="R65" s="25"/>
      <c r="U65" s="40"/>
    </row>
    <row r="66">
      <c r="A66" s="40"/>
      <c r="B66" s="40"/>
      <c r="D66" s="40"/>
      <c r="I66" s="41"/>
      <c r="J66" s="40"/>
      <c r="K66" s="40"/>
      <c r="O66" s="25"/>
      <c r="R66" s="25"/>
      <c r="U66" s="40"/>
    </row>
    <row r="67">
      <c r="A67" s="40"/>
      <c r="B67" s="40"/>
      <c r="D67" s="40"/>
      <c r="I67" s="41"/>
      <c r="J67" s="40"/>
      <c r="K67" s="40"/>
      <c r="O67" s="25"/>
      <c r="R67" s="25"/>
      <c r="U67" s="40"/>
    </row>
    <row r="68">
      <c r="A68" s="40"/>
      <c r="B68" s="40"/>
      <c r="D68" s="40"/>
      <c r="I68" s="41"/>
      <c r="J68" s="40"/>
      <c r="K68" s="40"/>
      <c r="O68" s="25"/>
      <c r="R68" s="25"/>
      <c r="U68" s="40"/>
    </row>
    <row r="69">
      <c r="A69" s="40"/>
      <c r="B69" s="40"/>
      <c r="D69" s="40"/>
      <c r="I69" s="41"/>
      <c r="J69" s="40"/>
      <c r="K69" s="40"/>
      <c r="O69" s="25"/>
      <c r="R69" s="25"/>
      <c r="U69" s="40"/>
    </row>
    <row r="70">
      <c r="A70" s="40"/>
      <c r="B70" s="40"/>
      <c r="D70" s="40"/>
      <c r="I70" s="41"/>
      <c r="J70" s="40"/>
      <c r="K70" s="40"/>
      <c r="O70" s="25"/>
      <c r="R70" s="25"/>
      <c r="U70" s="40"/>
    </row>
    <row r="71">
      <c r="A71" s="40"/>
      <c r="B71" s="40"/>
      <c r="D71" s="40"/>
      <c r="I71" s="41"/>
      <c r="J71" s="40"/>
      <c r="K71" s="40"/>
      <c r="O71" s="25"/>
      <c r="R71" s="25"/>
      <c r="U71" s="40"/>
    </row>
    <row r="72">
      <c r="A72" s="40"/>
      <c r="B72" s="40"/>
      <c r="D72" s="40"/>
      <c r="I72" s="41"/>
      <c r="J72" s="40"/>
      <c r="K72" s="40"/>
      <c r="O72" s="25"/>
      <c r="R72" s="25"/>
      <c r="U72" s="40"/>
    </row>
    <row r="73">
      <c r="A73" s="40"/>
      <c r="B73" s="40"/>
      <c r="D73" s="40"/>
      <c r="I73" s="41"/>
      <c r="J73" s="40"/>
      <c r="K73" s="40"/>
      <c r="O73" s="25"/>
      <c r="R73" s="25"/>
      <c r="U73" s="40"/>
    </row>
    <row r="74">
      <c r="A74" s="40"/>
      <c r="B74" s="40"/>
      <c r="D74" s="40"/>
      <c r="I74" s="41"/>
      <c r="J74" s="40"/>
      <c r="K74" s="40"/>
      <c r="O74" s="25"/>
      <c r="R74" s="25"/>
      <c r="U74" s="40"/>
    </row>
    <row r="75">
      <c r="A75" s="40"/>
      <c r="B75" s="40"/>
      <c r="D75" s="40"/>
      <c r="I75" s="41"/>
      <c r="J75" s="40"/>
      <c r="K75" s="40"/>
      <c r="O75" s="25"/>
      <c r="R75" s="25"/>
      <c r="U75" s="40"/>
    </row>
    <row r="76">
      <c r="A76" s="40"/>
      <c r="B76" s="40"/>
      <c r="D76" s="40"/>
      <c r="I76" s="41"/>
      <c r="J76" s="40"/>
      <c r="K76" s="40"/>
      <c r="O76" s="25"/>
      <c r="R76" s="25"/>
      <c r="U76" s="40"/>
    </row>
    <row r="77">
      <c r="A77" s="40"/>
      <c r="B77" s="40"/>
      <c r="D77" s="40"/>
      <c r="I77" s="41"/>
      <c r="J77" s="40"/>
      <c r="K77" s="40"/>
      <c r="O77" s="25"/>
      <c r="R77" s="25"/>
      <c r="U77" s="40"/>
    </row>
    <row r="78">
      <c r="A78" s="40"/>
      <c r="B78" s="40"/>
      <c r="D78" s="40"/>
      <c r="I78" s="41"/>
      <c r="J78" s="40"/>
      <c r="K78" s="40"/>
      <c r="O78" s="25"/>
      <c r="R78" s="25"/>
      <c r="U78" s="40"/>
    </row>
    <row r="79">
      <c r="A79" s="40"/>
      <c r="B79" s="40"/>
      <c r="D79" s="40"/>
      <c r="I79" s="41"/>
      <c r="J79" s="40"/>
      <c r="K79" s="40"/>
      <c r="O79" s="25"/>
      <c r="R79" s="25"/>
      <c r="U79" s="40"/>
    </row>
    <row r="80">
      <c r="A80" s="40"/>
      <c r="B80" s="40"/>
      <c r="D80" s="40"/>
      <c r="I80" s="41"/>
      <c r="J80" s="40"/>
      <c r="K80" s="40"/>
      <c r="O80" s="25"/>
      <c r="R80" s="25"/>
      <c r="U80" s="40"/>
    </row>
    <row r="81">
      <c r="A81" s="40"/>
      <c r="B81" s="40"/>
      <c r="D81" s="40"/>
      <c r="I81" s="41"/>
      <c r="J81" s="40"/>
      <c r="K81" s="40"/>
      <c r="O81" s="25"/>
      <c r="R81" s="25"/>
      <c r="U81" s="40"/>
    </row>
    <row r="82">
      <c r="A82" s="40"/>
      <c r="B82" s="40"/>
      <c r="D82" s="40"/>
      <c r="I82" s="41"/>
      <c r="J82" s="40"/>
      <c r="K82" s="40"/>
      <c r="O82" s="25"/>
      <c r="R82" s="25"/>
      <c r="U82" s="40"/>
    </row>
    <row r="83">
      <c r="A83" s="40"/>
      <c r="B83" s="40"/>
      <c r="D83" s="40"/>
      <c r="I83" s="41"/>
      <c r="J83" s="40"/>
      <c r="K83" s="40"/>
      <c r="O83" s="25"/>
      <c r="R83" s="25"/>
      <c r="U83" s="40"/>
    </row>
    <row r="84">
      <c r="A84" s="40"/>
      <c r="B84" s="40"/>
      <c r="D84" s="40"/>
      <c r="I84" s="41"/>
      <c r="J84" s="40"/>
      <c r="K84" s="40"/>
      <c r="O84" s="25"/>
      <c r="R84" s="25"/>
      <c r="U84" s="40"/>
    </row>
    <row r="85">
      <c r="A85" s="40"/>
      <c r="B85" s="40"/>
      <c r="D85" s="40"/>
      <c r="I85" s="41"/>
      <c r="J85" s="40"/>
      <c r="K85" s="40"/>
      <c r="O85" s="25"/>
      <c r="R85" s="25"/>
      <c r="U85" s="40"/>
    </row>
    <row r="86">
      <c r="A86" s="40"/>
      <c r="B86" s="40"/>
      <c r="D86" s="40"/>
      <c r="I86" s="41"/>
      <c r="J86" s="40"/>
      <c r="K86" s="40"/>
      <c r="O86" s="25"/>
      <c r="R86" s="25"/>
      <c r="U86" s="40"/>
    </row>
    <row r="87">
      <c r="A87" s="40"/>
      <c r="B87" s="40"/>
      <c r="D87" s="40"/>
      <c r="I87" s="41"/>
      <c r="J87" s="40"/>
      <c r="K87" s="40"/>
      <c r="O87" s="25"/>
      <c r="R87" s="25"/>
      <c r="U87" s="40"/>
    </row>
    <row r="88">
      <c r="A88" s="40"/>
      <c r="B88" s="40"/>
      <c r="D88" s="40"/>
      <c r="I88" s="41"/>
      <c r="J88" s="40"/>
      <c r="K88" s="40"/>
      <c r="O88" s="25"/>
      <c r="R88" s="25"/>
      <c r="U88" s="40"/>
    </row>
    <row r="89">
      <c r="A89" s="40"/>
      <c r="B89" s="40"/>
      <c r="D89" s="40"/>
      <c r="I89" s="41"/>
      <c r="J89" s="40"/>
      <c r="K89" s="40"/>
      <c r="O89" s="25"/>
      <c r="R89" s="25"/>
      <c r="U89" s="40"/>
    </row>
    <row r="90">
      <c r="A90" s="40"/>
      <c r="B90" s="40"/>
      <c r="D90" s="40"/>
      <c r="I90" s="41"/>
      <c r="J90" s="40"/>
      <c r="K90" s="40"/>
      <c r="O90" s="25"/>
      <c r="R90" s="25"/>
      <c r="U90" s="40"/>
    </row>
    <row r="91">
      <c r="A91" s="40"/>
      <c r="B91" s="40"/>
      <c r="D91" s="40"/>
      <c r="I91" s="41"/>
      <c r="J91" s="40"/>
      <c r="K91" s="40"/>
      <c r="O91" s="25"/>
      <c r="R91" s="25"/>
      <c r="U91" s="40"/>
    </row>
    <row r="92">
      <c r="A92" s="40"/>
      <c r="B92" s="40"/>
      <c r="D92" s="40"/>
      <c r="I92" s="41"/>
      <c r="J92" s="40"/>
      <c r="K92" s="40"/>
      <c r="O92" s="25"/>
      <c r="R92" s="25"/>
      <c r="U92" s="40"/>
    </row>
    <row r="93">
      <c r="A93" s="40"/>
      <c r="B93" s="40"/>
      <c r="D93" s="40"/>
      <c r="I93" s="41"/>
      <c r="J93" s="40"/>
      <c r="K93" s="40"/>
      <c r="O93" s="25"/>
      <c r="R93" s="25"/>
      <c r="U93" s="40"/>
    </row>
    <row r="94">
      <c r="A94" s="40"/>
      <c r="B94" s="40"/>
      <c r="D94" s="40"/>
      <c r="I94" s="41"/>
      <c r="J94" s="40"/>
      <c r="K94" s="40"/>
      <c r="O94" s="25"/>
      <c r="R94" s="25"/>
      <c r="U94" s="40"/>
    </row>
    <row r="95">
      <c r="A95" s="40"/>
      <c r="B95" s="40"/>
      <c r="D95" s="40"/>
      <c r="I95" s="41"/>
      <c r="J95" s="40"/>
      <c r="K95" s="40"/>
      <c r="O95" s="25"/>
      <c r="R95" s="25"/>
      <c r="U95" s="40"/>
    </row>
    <row r="96">
      <c r="A96" s="40"/>
      <c r="B96" s="40"/>
      <c r="D96" s="40"/>
      <c r="I96" s="41"/>
      <c r="J96" s="40"/>
      <c r="K96" s="40"/>
      <c r="O96" s="25"/>
      <c r="R96" s="25"/>
      <c r="U96" s="40"/>
    </row>
    <row r="97">
      <c r="A97" s="40"/>
      <c r="B97" s="40"/>
      <c r="D97" s="40"/>
      <c r="I97" s="41"/>
      <c r="J97" s="40"/>
      <c r="K97" s="40"/>
      <c r="O97" s="25"/>
      <c r="R97" s="25"/>
      <c r="U97" s="40"/>
    </row>
    <row r="98">
      <c r="A98" s="40"/>
      <c r="B98" s="40"/>
      <c r="D98" s="40"/>
      <c r="I98" s="41"/>
      <c r="J98" s="40"/>
      <c r="K98" s="40"/>
      <c r="O98" s="25"/>
      <c r="R98" s="25"/>
      <c r="U98" s="40"/>
    </row>
    <row r="99">
      <c r="A99" s="40"/>
      <c r="B99" s="40"/>
      <c r="D99" s="40"/>
      <c r="I99" s="41"/>
      <c r="J99" s="40"/>
      <c r="K99" s="40"/>
      <c r="O99" s="25"/>
      <c r="R99" s="25"/>
      <c r="U99" s="40"/>
    </row>
    <row r="100">
      <c r="A100" s="40"/>
      <c r="B100" s="40"/>
      <c r="D100" s="40"/>
      <c r="I100" s="41"/>
      <c r="J100" s="40"/>
      <c r="K100" s="40"/>
      <c r="O100" s="25"/>
      <c r="R100" s="25"/>
      <c r="U100" s="40"/>
    </row>
    <row r="101">
      <c r="A101" s="40"/>
      <c r="B101" s="40"/>
      <c r="D101" s="40"/>
      <c r="I101" s="41"/>
      <c r="J101" s="40"/>
      <c r="K101" s="40"/>
      <c r="O101" s="25"/>
      <c r="R101" s="25"/>
      <c r="U101" s="40"/>
    </row>
    <row r="102">
      <c r="A102" s="40"/>
      <c r="B102" s="40"/>
      <c r="D102" s="40"/>
      <c r="I102" s="41"/>
      <c r="J102" s="40"/>
      <c r="K102" s="40"/>
      <c r="O102" s="25"/>
      <c r="R102" s="25"/>
      <c r="U102" s="40"/>
    </row>
    <row r="103">
      <c r="A103" s="40"/>
      <c r="B103" s="40"/>
      <c r="D103" s="40"/>
      <c r="I103" s="41"/>
      <c r="J103" s="40"/>
      <c r="K103" s="40"/>
      <c r="O103" s="25"/>
      <c r="R103" s="25"/>
      <c r="U103" s="40"/>
    </row>
    <row r="104">
      <c r="A104" s="40"/>
      <c r="B104" s="40"/>
      <c r="D104" s="40"/>
      <c r="I104" s="41"/>
      <c r="J104" s="40"/>
      <c r="K104" s="40"/>
      <c r="O104" s="25"/>
      <c r="R104" s="25"/>
      <c r="U104" s="40"/>
    </row>
    <row r="105">
      <c r="A105" s="40"/>
      <c r="B105" s="40"/>
      <c r="D105" s="40"/>
      <c r="I105" s="41"/>
      <c r="J105" s="40"/>
      <c r="K105" s="40"/>
      <c r="O105" s="25"/>
      <c r="R105" s="25"/>
      <c r="U105" s="40"/>
    </row>
    <row r="106">
      <c r="A106" s="40"/>
      <c r="B106" s="40"/>
      <c r="D106" s="40"/>
      <c r="I106" s="41"/>
      <c r="J106" s="40"/>
      <c r="K106" s="40"/>
      <c r="O106" s="25"/>
      <c r="R106" s="25"/>
      <c r="U106" s="40"/>
    </row>
    <row r="107">
      <c r="A107" s="40"/>
      <c r="B107" s="40"/>
      <c r="D107" s="40"/>
      <c r="I107" s="41"/>
      <c r="J107" s="40"/>
      <c r="K107" s="40"/>
      <c r="O107" s="25"/>
      <c r="R107" s="25"/>
      <c r="U107" s="40"/>
    </row>
    <row r="108">
      <c r="A108" s="40"/>
      <c r="B108" s="40"/>
      <c r="D108" s="40"/>
      <c r="I108" s="41"/>
      <c r="J108" s="40"/>
      <c r="K108" s="40"/>
      <c r="O108" s="25"/>
      <c r="R108" s="25"/>
      <c r="U108" s="40"/>
    </row>
    <row r="109">
      <c r="A109" s="40"/>
      <c r="B109" s="40"/>
      <c r="D109" s="40"/>
      <c r="I109" s="41"/>
      <c r="J109" s="40"/>
      <c r="K109" s="40"/>
      <c r="O109" s="25"/>
      <c r="R109" s="25"/>
      <c r="U109" s="40"/>
    </row>
    <row r="110">
      <c r="A110" s="40"/>
      <c r="B110" s="40"/>
      <c r="D110" s="40"/>
      <c r="I110" s="41"/>
      <c r="J110" s="40"/>
      <c r="K110" s="40"/>
      <c r="O110" s="25"/>
      <c r="R110" s="25"/>
      <c r="U110" s="40"/>
    </row>
    <row r="111">
      <c r="A111" s="40"/>
      <c r="B111" s="40"/>
      <c r="D111" s="40"/>
      <c r="I111" s="41"/>
      <c r="J111" s="40"/>
      <c r="K111" s="40"/>
      <c r="O111" s="25"/>
      <c r="R111" s="25"/>
      <c r="U111" s="40"/>
    </row>
    <row r="112">
      <c r="A112" s="40"/>
      <c r="B112" s="40"/>
      <c r="D112" s="40"/>
      <c r="I112" s="41"/>
      <c r="J112" s="40"/>
      <c r="K112" s="40"/>
      <c r="O112" s="25"/>
      <c r="R112" s="25"/>
      <c r="U112" s="40"/>
    </row>
    <row r="113">
      <c r="A113" s="40"/>
      <c r="B113" s="40"/>
      <c r="D113" s="40"/>
      <c r="I113" s="41"/>
      <c r="J113" s="40"/>
      <c r="K113" s="40"/>
      <c r="O113" s="25"/>
      <c r="R113" s="25"/>
      <c r="U113" s="40"/>
    </row>
    <row r="114">
      <c r="A114" s="40"/>
      <c r="B114" s="40"/>
      <c r="D114" s="40"/>
      <c r="I114" s="41"/>
      <c r="J114" s="40"/>
      <c r="K114" s="40"/>
      <c r="O114" s="25"/>
      <c r="R114" s="25"/>
      <c r="U114" s="40"/>
    </row>
    <row r="115">
      <c r="A115" s="40"/>
      <c r="B115" s="40"/>
      <c r="D115" s="40"/>
      <c r="I115" s="41"/>
      <c r="J115" s="40"/>
      <c r="K115" s="40"/>
      <c r="O115" s="25"/>
      <c r="R115" s="25"/>
      <c r="U115" s="40"/>
    </row>
    <row r="116">
      <c r="A116" s="40"/>
      <c r="B116" s="40"/>
      <c r="D116" s="40"/>
      <c r="I116" s="41"/>
      <c r="J116" s="40"/>
      <c r="K116" s="40"/>
      <c r="O116" s="25"/>
      <c r="R116" s="25"/>
      <c r="U116" s="40"/>
    </row>
    <row r="117">
      <c r="A117" s="40"/>
      <c r="B117" s="40"/>
      <c r="D117" s="40"/>
      <c r="I117" s="41"/>
      <c r="J117" s="40"/>
      <c r="K117" s="40"/>
      <c r="O117" s="25"/>
      <c r="R117" s="25"/>
      <c r="U117" s="40"/>
    </row>
    <row r="118">
      <c r="A118" s="40"/>
      <c r="B118" s="40"/>
      <c r="D118" s="40"/>
      <c r="I118" s="41"/>
      <c r="J118" s="40"/>
      <c r="K118" s="40"/>
      <c r="O118" s="25"/>
      <c r="R118" s="25"/>
      <c r="U118" s="40"/>
    </row>
    <row r="119">
      <c r="A119" s="40"/>
      <c r="B119" s="40"/>
      <c r="D119" s="40"/>
      <c r="I119" s="41"/>
      <c r="J119" s="40"/>
      <c r="K119" s="40"/>
      <c r="O119" s="25"/>
      <c r="R119" s="25"/>
      <c r="U119" s="40"/>
    </row>
    <row r="120">
      <c r="A120" s="40"/>
      <c r="B120" s="40"/>
      <c r="D120" s="40"/>
      <c r="I120" s="41"/>
      <c r="J120" s="40"/>
      <c r="K120" s="40"/>
      <c r="O120" s="25"/>
      <c r="R120" s="25"/>
      <c r="U120" s="40"/>
    </row>
    <row r="121">
      <c r="A121" s="40"/>
      <c r="B121" s="40"/>
      <c r="D121" s="40"/>
      <c r="I121" s="41"/>
      <c r="J121" s="40"/>
      <c r="K121" s="40"/>
      <c r="O121" s="25"/>
      <c r="R121" s="25"/>
      <c r="U121" s="40"/>
    </row>
    <row r="122">
      <c r="A122" s="40"/>
      <c r="B122" s="40"/>
      <c r="D122" s="40"/>
      <c r="I122" s="41"/>
      <c r="J122" s="40"/>
      <c r="K122" s="40"/>
      <c r="O122" s="25"/>
      <c r="R122" s="25"/>
      <c r="U122" s="40"/>
    </row>
    <row r="123">
      <c r="A123" s="40"/>
      <c r="B123" s="40"/>
      <c r="D123" s="40"/>
      <c r="I123" s="41"/>
      <c r="J123" s="40"/>
      <c r="K123" s="40"/>
      <c r="O123" s="25"/>
      <c r="R123" s="25"/>
      <c r="U123" s="40"/>
    </row>
    <row r="124">
      <c r="A124" s="40"/>
      <c r="B124" s="40"/>
      <c r="D124" s="40"/>
      <c r="I124" s="41"/>
      <c r="J124" s="40"/>
      <c r="K124" s="40"/>
      <c r="O124" s="25"/>
      <c r="R124" s="25"/>
      <c r="U124" s="40"/>
    </row>
    <row r="125">
      <c r="A125" s="40"/>
      <c r="B125" s="40"/>
      <c r="D125" s="40"/>
      <c r="I125" s="41"/>
      <c r="J125" s="40"/>
      <c r="K125" s="40"/>
      <c r="O125" s="25"/>
      <c r="R125" s="25"/>
      <c r="U125" s="40"/>
    </row>
    <row r="126">
      <c r="A126" s="40"/>
      <c r="B126" s="40"/>
      <c r="D126" s="40"/>
      <c r="I126" s="41"/>
      <c r="J126" s="40"/>
      <c r="K126" s="40"/>
      <c r="O126" s="25"/>
      <c r="R126" s="25"/>
      <c r="U126" s="40"/>
    </row>
    <row r="127">
      <c r="A127" s="40"/>
      <c r="B127" s="40"/>
      <c r="D127" s="40"/>
      <c r="I127" s="41"/>
      <c r="J127" s="40"/>
      <c r="K127" s="40"/>
      <c r="O127" s="25"/>
      <c r="R127" s="25"/>
      <c r="U127" s="40"/>
    </row>
    <row r="128">
      <c r="A128" s="40"/>
      <c r="B128" s="40"/>
      <c r="D128" s="40"/>
      <c r="I128" s="41"/>
      <c r="J128" s="40"/>
      <c r="K128" s="40"/>
      <c r="O128" s="25"/>
      <c r="R128" s="25"/>
      <c r="U128" s="40"/>
    </row>
    <row r="129">
      <c r="A129" s="40"/>
      <c r="B129" s="40"/>
      <c r="D129" s="40"/>
      <c r="I129" s="41"/>
      <c r="J129" s="40"/>
      <c r="K129" s="40"/>
      <c r="O129" s="25"/>
      <c r="R129" s="25"/>
      <c r="U129" s="40"/>
    </row>
    <row r="130">
      <c r="A130" s="40"/>
      <c r="B130" s="40"/>
      <c r="D130" s="40"/>
      <c r="I130" s="41"/>
      <c r="J130" s="40"/>
      <c r="K130" s="40"/>
      <c r="O130" s="25"/>
      <c r="R130" s="25"/>
      <c r="U130" s="40"/>
    </row>
    <row r="131">
      <c r="A131" s="40"/>
      <c r="B131" s="40"/>
      <c r="D131" s="40"/>
      <c r="I131" s="41"/>
      <c r="J131" s="40"/>
      <c r="K131" s="40"/>
      <c r="O131" s="25"/>
      <c r="R131" s="25"/>
      <c r="U131" s="40"/>
    </row>
    <row r="132">
      <c r="A132" s="40"/>
      <c r="B132" s="40"/>
      <c r="D132" s="40"/>
      <c r="I132" s="41"/>
      <c r="J132" s="40"/>
      <c r="K132" s="40"/>
      <c r="O132" s="25"/>
      <c r="R132" s="25"/>
      <c r="U132" s="40"/>
    </row>
    <row r="133">
      <c r="A133" s="40"/>
      <c r="B133" s="40"/>
      <c r="D133" s="40"/>
      <c r="I133" s="41"/>
      <c r="J133" s="40"/>
      <c r="K133" s="40"/>
      <c r="O133" s="25"/>
      <c r="R133" s="25"/>
      <c r="U133" s="40"/>
    </row>
    <row r="134">
      <c r="A134" s="40"/>
      <c r="B134" s="40"/>
      <c r="D134" s="40"/>
      <c r="I134" s="41"/>
      <c r="J134" s="40"/>
      <c r="K134" s="40"/>
      <c r="O134" s="25"/>
      <c r="R134" s="25"/>
      <c r="U134" s="40"/>
    </row>
    <row r="135">
      <c r="A135" s="40"/>
      <c r="B135" s="40"/>
      <c r="D135" s="40"/>
      <c r="I135" s="41"/>
      <c r="J135" s="40"/>
      <c r="K135" s="40"/>
      <c r="O135" s="25"/>
      <c r="R135" s="25"/>
      <c r="U135" s="40"/>
    </row>
    <row r="136">
      <c r="A136" s="40"/>
      <c r="B136" s="40"/>
      <c r="D136" s="40"/>
      <c r="I136" s="41"/>
      <c r="J136" s="40"/>
      <c r="K136" s="40"/>
      <c r="O136" s="25"/>
      <c r="R136" s="25"/>
      <c r="U136" s="40"/>
    </row>
    <row r="137">
      <c r="A137" s="40"/>
      <c r="B137" s="40"/>
      <c r="D137" s="40"/>
      <c r="I137" s="41"/>
      <c r="J137" s="40"/>
      <c r="K137" s="40"/>
      <c r="O137" s="25"/>
      <c r="R137" s="25"/>
      <c r="U137" s="40"/>
    </row>
    <row r="138">
      <c r="A138" s="40"/>
      <c r="B138" s="40"/>
      <c r="D138" s="40"/>
      <c r="I138" s="41"/>
      <c r="J138" s="40"/>
      <c r="K138" s="40"/>
      <c r="O138" s="25"/>
      <c r="R138" s="25"/>
      <c r="U138" s="40"/>
    </row>
    <row r="139">
      <c r="A139" s="40"/>
      <c r="B139" s="40"/>
      <c r="D139" s="40"/>
      <c r="I139" s="41"/>
      <c r="J139" s="40"/>
      <c r="K139" s="40"/>
      <c r="O139" s="25"/>
      <c r="R139" s="25"/>
      <c r="U139" s="40"/>
    </row>
    <row r="140">
      <c r="A140" s="40"/>
      <c r="B140" s="40"/>
      <c r="D140" s="40"/>
      <c r="I140" s="41"/>
      <c r="J140" s="40"/>
      <c r="K140" s="40"/>
      <c r="O140" s="25"/>
      <c r="R140" s="25"/>
      <c r="U140" s="40"/>
    </row>
    <row r="141">
      <c r="A141" s="40"/>
      <c r="B141" s="40"/>
      <c r="D141" s="40"/>
      <c r="I141" s="41"/>
      <c r="J141" s="40"/>
      <c r="K141" s="40"/>
      <c r="O141" s="25"/>
      <c r="R141" s="25"/>
      <c r="U141" s="40"/>
    </row>
    <row r="142">
      <c r="A142" s="40"/>
      <c r="B142" s="40"/>
      <c r="D142" s="40"/>
      <c r="I142" s="41"/>
      <c r="J142" s="40"/>
      <c r="K142" s="40"/>
      <c r="O142" s="25"/>
      <c r="R142" s="25"/>
      <c r="U142" s="40"/>
    </row>
    <row r="143">
      <c r="A143" s="40"/>
      <c r="B143" s="40"/>
      <c r="D143" s="40"/>
      <c r="I143" s="41"/>
      <c r="J143" s="40"/>
      <c r="K143" s="40"/>
      <c r="O143" s="25"/>
      <c r="R143" s="25"/>
      <c r="U143" s="40"/>
    </row>
    <row r="144">
      <c r="A144" s="40"/>
      <c r="B144" s="40"/>
      <c r="D144" s="40"/>
      <c r="I144" s="41"/>
      <c r="J144" s="40"/>
      <c r="K144" s="40"/>
      <c r="O144" s="25"/>
      <c r="R144" s="25"/>
      <c r="U144" s="40"/>
    </row>
    <row r="145">
      <c r="A145" s="40"/>
      <c r="B145" s="40"/>
      <c r="D145" s="40"/>
      <c r="I145" s="41"/>
      <c r="J145" s="40"/>
      <c r="K145" s="40"/>
      <c r="O145" s="25"/>
      <c r="R145" s="25"/>
      <c r="U145" s="40"/>
    </row>
    <row r="146">
      <c r="A146" s="40"/>
      <c r="B146" s="40"/>
      <c r="D146" s="40"/>
      <c r="I146" s="41"/>
      <c r="J146" s="40"/>
      <c r="K146" s="40"/>
      <c r="O146" s="25"/>
      <c r="R146" s="25"/>
      <c r="U146" s="40"/>
    </row>
    <row r="147">
      <c r="A147" s="40"/>
      <c r="B147" s="40"/>
      <c r="D147" s="40"/>
      <c r="I147" s="41"/>
      <c r="J147" s="40"/>
      <c r="K147" s="40"/>
      <c r="O147" s="25"/>
      <c r="R147" s="25"/>
      <c r="U147" s="40"/>
    </row>
    <row r="148">
      <c r="A148" s="40"/>
      <c r="B148" s="40"/>
      <c r="D148" s="40"/>
      <c r="I148" s="41"/>
      <c r="J148" s="40"/>
      <c r="K148" s="40"/>
      <c r="O148" s="25"/>
      <c r="R148" s="25"/>
      <c r="U148" s="40"/>
    </row>
    <row r="149">
      <c r="A149" s="40"/>
      <c r="B149" s="40"/>
      <c r="D149" s="40"/>
      <c r="I149" s="41"/>
      <c r="J149" s="40"/>
      <c r="K149" s="40"/>
      <c r="O149" s="25"/>
      <c r="R149" s="25"/>
      <c r="U149" s="40"/>
    </row>
    <row r="150">
      <c r="A150" s="40"/>
      <c r="B150" s="40"/>
      <c r="D150" s="40"/>
      <c r="I150" s="41"/>
      <c r="J150" s="40"/>
      <c r="K150" s="40"/>
      <c r="O150" s="25"/>
      <c r="R150" s="25"/>
      <c r="U150" s="40"/>
    </row>
    <row r="151">
      <c r="A151" s="40"/>
      <c r="B151" s="40"/>
      <c r="D151" s="40"/>
      <c r="I151" s="41"/>
      <c r="J151" s="40"/>
      <c r="K151" s="40"/>
      <c r="O151" s="25"/>
      <c r="R151" s="25"/>
      <c r="U151" s="40"/>
    </row>
    <row r="152">
      <c r="A152" s="40"/>
      <c r="B152" s="40"/>
      <c r="D152" s="40"/>
      <c r="I152" s="41"/>
      <c r="J152" s="40"/>
      <c r="K152" s="40"/>
      <c r="O152" s="25"/>
      <c r="R152" s="25"/>
      <c r="U152" s="40"/>
    </row>
    <row r="153">
      <c r="A153" s="40"/>
      <c r="B153" s="40"/>
      <c r="D153" s="40"/>
      <c r="I153" s="41"/>
      <c r="J153" s="40"/>
      <c r="K153" s="40"/>
      <c r="O153" s="25"/>
      <c r="R153" s="25"/>
      <c r="U153" s="40"/>
    </row>
    <row r="154">
      <c r="A154" s="40"/>
      <c r="B154" s="40"/>
      <c r="D154" s="40"/>
      <c r="I154" s="41"/>
      <c r="J154" s="40"/>
      <c r="K154" s="40"/>
      <c r="O154" s="25"/>
      <c r="R154" s="25"/>
      <c r="U154" s="40"/>
    </row>
    <row r="155">
      <c r="A155" s="40"/>
      <c r="B155" s="40"/>
      <c r="D155" s="40"/>
      <c r="I155" s="41"/>
      <c r="J155" s="40"/>
      <c r="K155" s="40"/>
      <c r="O155" s="25"/>
      <c r="R155" s="25"/>
      <c r="U155" s="40"/>
    </row>
    <row r="156">
      <c r="A156" s="40"/>
      <c r="B156" s="40"/>
      <c r="D156" s="40"/>
      <c r="I156" s="41"/>
      <c r="J156" s="40"/>
      <c r="K156" s="40"/>
      <c r="O156" s="25"/>
      <c r="R156" s="25"/>
      <c r="U156" s="40"/>
    </row>
    <row r="157">
      <c r="A157" s="40"/>
      <c r="B157" s="40"/>
      <c r="D157" s="40"/>
      <c r="I157" s="41"/>
      <c r="J157" s="40"/>
      <c r="K157" s="40"/>
      <c r="O157" s="25"/>
      <c r="R157" s="25"/>
      <c r="U157" s="40"/>
    </row>
    <row r="158">
      <c r="A158" s="40"/>
      <c r="B158" s="40"/>
      <c r="D158" s="40"/>
      <c r="I158" s="41"/>
      <c r="J158" s="40"/>
      <c r="K158" s="40"/>
      <c r="O158" s="25"/>
      <c r="R158" s="25"/>
      <c r="U158" s="40"/>
    </row>
    <row r="159">
      <c r="A159" s="40"/>
      <c r="B159" s="40"/>
      <c r="D159" s="40"/>
      <c r="I159" s="41"/>
      <c r="J159" s="40"/>
      <c r="K159" s="40"/>
      <c r="O159" s="25"/>
      <c r="R159" s="25"/>
      <c r="U159" s="40"/>
    </row>
    <row r="160">
      <c r="A160" s="40"/>
      <c r="B160" s="40"/>
      <c r="D160" s="40"/>
      <c r="I160" s="41"/>
      <c r="J160" s="40"/>
      <c r="K160" s="40"/>
      <c r="O160" s="25"/>
      <c r="R160" s="25"/>
      <c r="U160" s="40"/>
    </row>
    <row r="161">
      <c r="A161" s="40"/>
      <c r="B161" s="40"/>
      <c r="D161" s="40"/>
      <c r="I161" s="41"/>
      <c r="J161" s="40"/>
      <c r="K161" s="40"/>
      <c r="O161" s="25"/>
      <c r="R161" s="25"/>
      <c r="U161" s="40"/>
    </row>
    <row r="162">
      <c r="A162" s="40"/>
      <c r="B162" s="40"/>
      <c r="D162" s="40"/>
      <c r="I162" s="41"/>
      <c r="J162" s="40"/>
      <c r="K162" s="40"/>
      <c r="O162" s="25"/>
      <c r="R162" s="25"/>
      <c r="U162" s="40"/>
    </row>
    <row r="163">
      <c r="A163" s="40"/>
      <c r="B163" s="40"/>
      <c r="D163" s="40"/>
      <c r="I163" s="41"/>
      <c r="J163" s="40"/>
      <c r="K163" s="40"/>
      <c r="O163" s="25"/>
      <c r="R163" s="25"/>
      <c r="U163" s="40"/>
    </row>
    <row r="164">
      <c r="A164" s="40"/>
      <c r="B164" s="40"/>
      <c r="D164" s="40"/>
      <c r="I164" s="41"/>
      <c r="J164" s="40"/>
      <c r="K164" s="40"/>
      <c r="O164" s="25"/>
      <c r="R164" s="25"/>
      <c r="U164" s="40"/>
    </row>
    <row r="165">
      <c r="A165" s="40"/>
      <c r="B165" s="40"/>
      <c r="D165" s="40"/>
      <c r="I165" s="41"/>
      <c r="J165" s="40"/>
      <c r="K165" s="40"/>
      <c r="O165" s="25"/>
      <c r="R165" s="25"/>
      <c r="U165" s="40"/>
    </row>
    <row r="166">
      <c r="A166" s="40"/>
      <c r="B166" s="40"/>
      <c r="D166" s="40"/>
      <c r="I166" s="41"/>
      <c r="J166" s="40"/>
      <c r="K166" s="40"/>
      <c r="O166" s="25"/>
      <c r="R166" s="25"/>
      <c r="U166" s="40"/>
    </row>
    <row r="167">
      <c r="A167" s="40"/>
      <c r="B167" s="40"/>
      <c r="D167" s="40"/>
      <c r="I167" s="41"/>
      <c r="J167" s="40"/>
      <c r="K167" s="40"/>
      <c r="O167" s="25"/>
      <c r="R167" s="25"/>
      <c r="U167" s="40"/>
    </row>
    <row r="168">
      <c r="A168" s="40"/>
      <c r="B168" s="40"/>
      <c r="D168" s="40"/>
      <c r="I168" s="41"/>
      <c r="J168" s="40"/>
      <c r="K168" s="40"/>
      <c r="O168" s="25"/>
      <c r="R168" s="25"/>
      <c r="U168" s="40"/>
    </row>
    <row r="169">
      <c r="A169" s="40"/>
      <c r="B169" s="40"/>
      <c r="D169" s="40"/>
      <c r="I169" s="41"/>
      <c r="J169" s="40"/>
      <c r="K169" s="40"/>
      <c r="O169" s="25"/>
      <c r="R169" s="25"/>
      <c r="U169" s="40"/>
    </row>
    <row r="170">
      <c r="A170" s="40"/>
      <c r="B170" s="40"/>
      <c r="D170" s="40"/>
      <c r="I170" s="41"/>
      <c r="J170" s="40"/>
      <c r="K170" s="40"/>
      <c r="O170" s="25"/>
      <c r="R170" s="25"/>
      <c r="U170" s="40"/>
    </row>
    <row r="171">
      <c r="A171" s="40"/>
      <c r="B171" s="40"/>
      <c r="D171" s="40"/>
      <c r="I171" s="41"/>
      <c r="J171" s="40"/>
      <c r="K171" s="40"/>
      <c r="O171" s="25"/>
      <c r="R171" s="25"/>
      <c r="U171" s="40"/>
    </row>
    <row r="172">
      <c r="A172" s="40"/>
      <c r="B172" s="40"/>
      <c r="D172" s="40"/>
      <c r="I172" s="41"/>
      <c r="J172" s="40"/>
      <c r="K172" s="40"/>
      <c r="O172" s="25"/>
      <c r="R172" s="25"/>
      <c r="U172" s="40"/>
    </row>
    <row r="173">
      <c r="A173" s="40"/>
      <c r="B173" s="40"/>
      <c r="D173" s="40"/>
      <c r="I173" s="41"/>
      <c r="J173" s="40"/>
      <c r="K173" s="40"/>
      <c r="O173" s="25"/>
      <c r="R173" s="25"/>
      <c r="U173" s="40"/>
    </row>
    <row r="174">
      <c r="A174" s="40"/>
      <c r="B174" s="40"/>
      <c r="D174" s="40"/>
      <c r="I174" s="41"/>
      <c r="J174" s="40"/>
      <c r="K174" s="40"/>
      <c r="O174" s="25"/>
      <c r="R174" s="25"/>
      <c r="U174" s="40"/>
    </row>
    <row r="175">
      <c r="A175" s="40"/>
      <c r="B175" s="40"/>
      <c r="D175" s="40"/>
      <c r="I175" s="41"/>
      <c r="J175" s="40"/>
      <c r="K175" s="40"/>
      <c r="O175" s="25"/>
      <c r="R175" s="25"/>
      <c r="U175" s="40"/>
    </row>
    <row r="176">
      <c r="A176" s="40"/>
      <c r="B176" s="40"/>
      <c r="D176" s="40"/>
      <c r="I176" s="41"/>
      <c r="J176" s="40"/>
      <c r="K176" s="40"/>
      <c r="O176" s="25"/>
      <c r="R176" s="25"/>
      <c r="U176" s="40"/>
    </row>
    <row r="177">
      <c r="A177" s="40"/>
      <c r="B177" s="40"/>
      <c r="D177" s="40"/>
      <c r="I177" s="41"/>
      <c r="J177" s="40"/>
      <c r="K177" s="40"/>
      <c r="O177" s="25"/>
      <c r="R177" s="25"/>
      <c r="U177" s="40"/>
    </row>
    <row r="178">
      <c r="A178" s="40"/>
      <c r="B178" s="40"/>
      <c r="D178" s="40"/>
      <c r="I178" s="41"/>
      <c r="J178" s="40"/>
      <c r="K178" s="40"/>
      <c r="O178" s="25"/>
      <c r="R178" s="25"/>
      <c r="U178" s="40"/>
    </row>
    <row r="179">
      <c r="A179" s="40"/>
      <c r="B179" s="40"/>
      <c r="D179" s="40"/>
      <c r="I179" s="41"/>
      <c r="J179" s="40"/>
      <c r="K179" s="40"/>
      <c r="O179" s="25"/>
      <c r="R179" s="25"/>
      <c r="U179" s="40"/>
    </row>
    <row r="180">
      <c r="A180" s="40"/>
      <c r="B180" s="40"/>
      <c r="D180" s="40"/>
      <c r="I180" s="41"/>
      <c r="J180" s="40"/>
      <c r="K180" s="40"/>
      <c r="O180" s="25"/>
      <c r="R180" s="25"/>
      <c r="U180" s="40"/>
    </row>
    <row r="181">
      <c r="A181" s="40"/>
      <c r="B181" s="40"/>
      <c r="D181" s="40"/>
      <c r="I181" s="41"/>
      <c r="J181" s="40"/>
      <c r="K181" s="40"/>
      <c r="O181" s="25"/>
      <c r="R181" s="25"/>
      <c r="U181" s="40"/>
    </row>
    <row r="182">
      <c r="A182" s="40"/>
      <c r="B182" s="40"/>
      <c r="D182" s="40"/>
      <c r="I182" s="41"/>
      <c r="J182" s="40"/>
      <c r="K182" s="40"/>
      <c r="O182" s="25"/>
      <c r="R182" s="25"/>
      <c r="U182" s="40"/>
    </row>
    <row r="183">
      <c r="A183" s="40"/>
      <c r="B183" s="40"/>
      <c r="D183" s="40"/>
      <c r="I183" s="41"/>
      <c r="J183" s="40"/>
      <c r="K183" s="40"/>
      <c r="O183" s="25"/>
      <c r="R183" s="25"/>
      <c r="U183" s="40"/>
    </row>
    <row r="184">
      <c r="A184" s="40"/>
      <c r="B184" s="40"/>
      <c r="D184" s="40"/>
      <c r="I184" s="41"/>
      <c r="J184" s="40"/>
      <c r="K184" s="40"/>
      <c r="O184" s="25"/>
      <c r="R184" s="25"/>
      <c r="U184" s="40"/>
    </row>
    <row r="185">
      <c r="A185" s="40"/>
      <c r="B185" s="40"/>
      <c r="D185" s="40"/>
      <c r="I185" s="41"/>
      <c r="J185" s="40"/>
      <c r="K185" s="40"/>
      <c r="O185" s="25"/>
      <c r="R185" s="25"/>
      <c r="U185" s="40"/>
    </row>
    <row r="186">
      <c r="A186" s="40"/>
      <c r="B186" s="40"/>
      <c r="D186" s="40"/>
      <c r="I186" s="41"/>
      <c r="J186" s="40"/>
      <c r="K186" s="40"/>
      <c r="O186" s="25"/>
      <c r="R186" s="25"/>
      <c r="U186" s="40"/>
    </row>
    <row r="187">
      <c r="A187" s="40"/>
      <c r="B187" s="40"/>
      <c r="D187" s="40"/>
      <c r="I187" s="41"/>
      <c r="J187" s="40"/>
      <c r="K187" s="40"/>
      <c r="O187" s="25"/>
      <c r="R187" s="25"/>
      <c r="U187" s="40"/>
    </row>
    <row r="188">
      <c r="A188" s="40"/>
      <c r="B188" s="40"/>
      <c r="D188" s="40"/>
      <c r="I188" s="41"/>
      <c r="J188" s="40"/>
      <c r="K188" s="40"/>
      <c r="O188" s="25"/>
      <c r="R188" s="25"/>
      <c r="U188" s="40"/>
    </row>
    <row r="189">
      <c r="A189" s="40"/>
      <c r="B189" s="40"/>
      <c r="D189" s="40"/>
      <c r="I189" s="41"/>
      <c r="J189" s="40"/>
      <c r="K189" s="40"/>
      <c r="O189" s="25"/>
      <c r="R189" s="25"/>
      <c r="U189" s="40"/>
    </row>
    <row r="190">
      <c r="A190" s="40"/>
      <c r="B190" s="40"/>
      <c r="D190" s="40"/>
      <c r="I190" s="41"/>
      <c r="J190" s="40"/>
      <c r="K190" s="40"/>
      <c r="O190" s="25"/>
      <c r="R190" s="25"/>
      <c r="U190" s="40"/>
    </row>
    <row r="191">
      <c r="A191" s="40"/>
      <c r="B191" s="40"/>
      <c r="D191" s="40"/>
      <c r="I191" s="41"/>
      <c r="J191" s="40"/>
      <c r="K191" s="40"/>
      <c r="O191" s="25"/>
      <c r="R191" s="25"/>
      <c r="U191" s="40"/>
    </row>
    <row r="192">
      <c r="A192" s="40"/>
      <c r="B192" s="40"/>
      <c r="D192" s="40"/>
      <c r="I192" s="41"/>
      <c r="J192" s="40"/>
      <c r="K192" s="40"/>
      <c r="O192" s="25"/>
      <c r="R192" s="25"/>
      <c r="U192" s="40"/>
    </row>
    <row r="193">
      <c r="A193" s="40"/>
      <c r="B193" s="40"/>
      <c r="D193" s="40"/>
      <c r="I193" s="41"/>
      <c r="J193" s="40"/>
      <c r="K193" s="40"/>
      <c r="O193" s="25"/>
      <c r="R193" s="25"/>
      <c r="U193" s="40"/>
    </row>
    <row r="194">
      <c r="A194" s="40"/>
      <c r="B194" s="40"/>
      <c r="D194" s="40"/>
      <c r="I194" s="41"/>
      <c r="J194" s="40"/>
      <c r="K194" s="40"/>
      <c r="O194" s="25"/>
      <c r="R194" s="25"/>
      <c r="U194" s="40"/>
    </row>
    <row r="195">
      <c r="A195" s="40"/>
      <c r="B195" s="40"/>
      <c r="D195" s="40"/>
      <c r="I195" s="41"/>
      <c r="J195" s="40"/>
      <c r="K195" s="40"/>
      <c r="O195" s="25"/>
      <c r="R195" s="25"/>
      <c r="U195" s="40"/>
    </row>
    <row r="196">
      <c r="A196" s="40"/>
      <c r="B196" s="40"/>
      <c r="D196" s="40"/>
      <c r="I196" s="41"/>
      <c r="J196" s="40"/>
      <c r="K196" s="40"/>
      <c r="O196" s="25"/>
      <c r="R196" s="25"/>
      <c r="U196" s="40"/>
    </row>
    <row r="197">
      <c r="A197" s="40"/>
      <c r="B197" s="40"/>
      <c r="D197" s="40"/>
      <c r="I197" s="41"/>
      <c r="J197" s="40"/>
      <c r="K197" s="40"/>
      <c r="O197" s="25"/>
      <c r="R197" s="25"/>
      <c r="U197" s="40"/>
    </row>
    <row r="198">
      <c r="A198" s="40"/>
      <c r="B198" s="40"/>
      <c r="D198" s="40"/>
      <c r="I198" s="41"/>
      <c r="J198" s="40"/>
      <c r="K198" s="40"/>
      <c r="O198" s="25"/>
      <c r="R198" s="25"/>
      <c r="U198" s="40"/>
    </row>
    <row r="199">
      <c r="A199" s="40"/>
      <c r="B199" s="40"/>
      <c r="D199" s="40"/>
      <c r="I199" s="41"/>
      <c r="J199" s="40"/>
      <c r="K199" s="40"/>
      <c r="O199" s="25"/>
      <c r="R199" s="25"/>
      <c r="U199" s="40"/>
    </row>
    <row r="200">
      <c r="A200" s="40"/>
      <c r="B200" s="40"/>
      <c r="D200" s="40"/>
      <c r="I200" s="41"/>
      <c r="J200" s="40"/>
      <c r="K200" s="40"/>
      <c r="O200" s="25"/>
      <c r="R200" s="25"/>
      <c r="U200" s="40"/>
    </row>
    <row r="201">
      <c r="A201" s="40"/>
      <c r="B201" s="40"/>
      <c r="D201" s="40"/>
      <c r="I201" s="41"/>
      <c r="J201" s="40"/>
      <c r="K201" s="40"/>
      <c r="O201" s="25"/>
      <c r="R201" s="25"/>
      <c r="U201" s="40"/>
    </row>
    <row r="202">
      <c r="A202" s="40"/>
      <c r="B202" s="40"/>
      <c r="D202" s="40"/>
      <c r="I202" s="41"/>
      <c r="J202" s="40"/>
      <c r="K202" s="40"/>
      <c r="O202" s="25"/>
      <c r="R202" s="25"/>
      <c r="U202" s="40"/>
    </row>
    <row r="203">
      <c r="A203" s="40"/>
      <c r="B203" s="40"/>
      <c r="D203" s="40"/>
      <c r="I203" s="41"/>
      <c r="J203" s="40"/>
      <c r="K203" s="40"/>
      <c r="O203" s="25"/>
      <c r="R203" s="25"/>
      <c r="U203" s="40"/>
    </row>
    <row r="204">
      <c r="A204" s="40"/>
      <c r="B204" s="40"/>
      <c r="D204" s="40"/>
      <c r="I204" s="41"/>
      <c r="J204" s="40"/>
      <c r="K204" s="40"/>
      <c r="O204" s="25"/>
      <c r="R204" s="25"/>
      <c r="U204" s="40"/>
    </row>
    <row r="205">
      <c r="A205" s="40"/>
      <c r="B205" s="40"/>
      <c r="D205" s="40"/>
      <c r="I205" s="41"/>
      <c r="J205" s="40"/>
      <c r="K205" s="40"/>
      <c r="O205" s="25"/>
      <c r="R205" s="25"/>
      <c r="U205" s="40"/>
    </row>
    <row r="206">
      <c r="A206" s="40"/>
      <c r="B206" s="40"/>
      <c r="D206" s="40"/>
      <c r="I206" s="41"/>
      <c r="J206" s="40"/>
      <c r="K206" s="40"/>
      <c r="O206" s="25"/>
      <c r="R206" s="25"/>
      <c r="U206" s="40"/>
    </row>
    <row r="207">
      <c r="A207" s="40"/>
      <c r="B207" s="40"/>
      <c r="D207" s="40"/>
      <c r="I207" s="41"/>
      <c r="J207" s="40"/>
      <c r="K207" s="40"/>
      <c r="O207" s="25"/>
      <c r="R207" s="25"/>
      <c r="U207" s="40"/>
    </row>
    <row r="208">
      <c r="A208" s="40"/>
      <c r="B208" s="40"/>
      <c r="D208" s="40"/>
      <c r="I208" s="41"/>
      <c r="J208" s="40"/>
      <c r="K208" s="40"/>
      <c r="O208" s="25"/>
      <c r="R208" s="25"/>
      <c r="U208" s="40"/>
    </row>
    <row r="209">
      <c r="A209" s="40"/>
      <c r="B209" s="40"/>
      <c r="D209" s="40"/>
      <c r="I209" s="41"/>
      <c r="J209" s="40"/>
      <c r="K209" s="40"/>
      <c r="O209" s="25"/>
      <c r="R209" s="25"/>
      <c r="U209" s="40"/>
    </row>
    <row r="210">
      <c r="A210" s="40"/>
      <c r="B210" s="40"/>
      <c r="D210" s="40"/>
      <c r="I210" s="41"/>
      <c r="J210" s="40"/>
      <c r="K210" s="40"/>
      <c r="O210" s="25"/>
      <c r="R210" s="25"/>
      <c r="U210" s="40"/>
    </row>
    <row r="211">
      <c r="A211" s="40"/>
      <c r="B211" s="40"/>
      <c r="D211" s="40"/>
      <c r="I211" s="41"/>
      <c r="J211" s="40"/>
      <c r="K211" s="40"/>
      <c r="O211" s="25"/>
      <c r="R211" s="25"/>
      <c r="U211" s="40"/>
    </row>
    <row r="212">
      <c r="A212" s="40"/>
      <c r="B212" s="40"/>
      <c r="D212" s="40"/>
      <c r="I212" s="41"/>
      <c r="J212" s="40"/>
      <c r="K212" s="40"/>
      <c r="O212" s="25"/>
      <c r="R212" s="25"/>
      <c r="U212" s="40"/>
    </row>
    <row r="213">
      <c r="A213" s="40"/>
      <c r="B213" s="40"/>
      <c r="D213" s="40"/>
      <c r="I213" s="41"/>
      <c r="J213" s="40"/>
      <c r="K213" s="40"/>
      <c r="O213" s="25"/>
      <c r="R213" s="25"/>
      <c r="U213" s="40"/>
    </row>
    <row r="214">
      <c r="A214" s="40"/>
      <c r="B214" s="40"/>
      <c r="D214" s="40"/>
      <c r="I214" s="41"/>
      <c r="J214" s="40"/>
      <c r="K214" s="40"/>
      <c r="O214" s="25"/>
      <c r="R214" s="25"/>
      <c r="U214" s="40"/>
    </row>
    <row r="215">
      <c r="A215" s="40"/>
      <c r="B215" s="40"/>
      <c r="D215" s="40"/>
      <c r="I215" s="41"/>
      <c r="J215" s="40"/>
      <c r="K215" s="40"/>
      <c r="O215" s="25"/>
      <c r="R215" s="25"/>
      <c r="U215" s="40"/>
    </row>
    <row r="216">
      <c r="A216" s="40"/>
      <c r="B216" s="40"/>
      <c r="D216" s="40"/>
      <c r="I216" s="41"/>
      <c r="J216" s="40"/>
      <c r="K216" s="40"/>
      <c r="O216" s="25"/>
      <c r="R216" s="25"/>
      <c r="U216" s="40"/>
    </row>
    <row r="217">
      <c r="A217" s="40"/>
      <c r="B217" s="40"/>
      <c r="D217" s="40"/>
      <c r="I217" s="41"/>
      <c r="J217" s="40"/>
      <c r="K217" s="40"/>
      <c r="O217" s="25"/>
      <c r="R217" s="25"/>
      <c r="U217" s="40"/>
    </row>
    <row r="218">
      <c r="A218" s="40"/>
      <c r="B218" s="40"/>
      <c r="D218" s="40"/>
      <c r="I218" s="41"/>
      <c r="J218" s="40"/>
      <c r="K218" s="40"/>
      <c r="O218" s="25"/>
      <c r="R218" s="25"/>
      <c r="U218" s="40"/>
    </row>
    <row r="219">
      <c r="A219" s="40"/>
      <c r="B219" s="40"/>
      <c r="D219" s="40"/>
      <c r="I219" s="41"/>
      <c r="J219" s="40"/>
      <c r="K219" s="40"/>
      <c r="O219" s="25"/>
      <c r="R219" s="25"/>
      <c r="U219" s="40"/>
    </row>
    <row r="220">
      <c r="A220" s="40"/>
      <c r="B220" s="40"/>
      <c r="D220" s="40"/>
      <c r="I220" s="41"/>
      <c r="J220" s="40"/>
      <c r="K220" s="40"/>
      <c r="O220" s="25"/>
      <c r="R220" s="25"/>
      <c r="U220" s="40"/>
    </row>
    <row r="221">
      <c r="A221" s="40"/>
      <c r="B221" s="40"/>
      <c r="D221" s="40"/>
      <c r="I221" s="41"/>
      <c r="J221" s="40"/>
      <c r="K221" s="40"/>
      <c r="O221" s="25"/>
      <c r="R221" s="25"/>
      <c r="U221" s="40"/>
    </row>
    <row r="222">
      <c r="A222" s="40"/>
      <c r="B222" s="40"/>
      <c r="D222" s="40"/>
      <c r="I222" s="41"/>
      <c r="J222" s="40"/>
      <c r="K222" s="40"/>
      <c r="O222" s="25"/>
      <c r="R222" s="25"/>
      <c r="U222" s="40"/>
    </row>
    <row r="223">
      <c r="A223" s="40"/>
      <c r="B223" s="40"/>
      <c r="D223" s="40"/>
      <c r="I223" s="41"/>
      <c r="J223" s="40"/>
      <c r="K223" s="40"/>
      <c r="O223" s="25"/>
      <c r="R223" s="25"/>
      <c r="U223" s="40"/>
    </row>
    <row r="224">
      <c r="A224" s="40"/>
      <c r="B224" s="40"/>
      <c r="D224" s="40"/>
      <c r="I224" s="41"/>
      <c r="J224" s="40"/>
      <c r="K224" s="40"/>
      <c r="O224" s="25"/>
      <c r="R224" s="25"/>
      <c r="U224" s="40"/>
    </row>
    <row r="225">
      <c r="A225" s="40"/>
      <c r="B225" s="40"/>
      <c r="D225" s="40"/>
      <c r="I225" s="41"/>
      <c r="J225" s="40"/>
      <c r="K225" s="40"/>
      <c r="O225" s="25"/>
      <c r="R225" s="25"/>
      <c r="U225" s="40"/>
    </row>
    <row r="226">
      <c r="A226" s="40"/>
      <c r="B226" s="40"/>
      <c r="D226" s="40"/>
      <c r="I226" s="41"/>
      <c r="J226" s="40"/>
      <c r="K226" s="40"/>
      <c r="O226" s="25"/>
      <c r="R226" s="25"/>
      <c r="U226" s="40"/>
    </row>
    <row r="227">
      <c r="A227" s="40"/>
      <c r="B227" s="40"/>
      <c r="D227" s="40"/>
      <c r="I227" s="41"/>
      <c r="J227" s="40"/>
      <c r="K227" s="40"/>
      <c r="O227" s="25"/>
      <c r="R227" s="25"/>
      <c r="U227" s="40"/>
    </row>
    <row r="228">
      <c r="A228" s="40"/>
      <c r="B228" s="40"/>
      <c r="D228" s="40"/>
      <c r="I228" s="41"/>
      <c r="J228" s="40"/>
      <c r="K228" s="40"/>
      <c r="O228" s="25"/>
      <c r="R228" s="25"/>
      <c r="U228" s="40"/>
    </row>
    <row r="229">
      <c r="A229" s="40"/>
      <c r="B229" s="40"/>
      <c r="D229" s="40"/>
      <c r="I229" s="41"/>
      <c r="J229" s="40"/>
      <c r="K229" s="40"/>
      <c r="O229" s="25"/>
      <c r="R229" s="25"/>
      <c r="U229" s="40"/>
    </row>
    <row r="230">
      <c r="A230" s="40"/>
      <c r="B230" s="40"/>
      <c r="D230" s="40"/>
      <c r="I230" s="41"/>
      <c r="J230" s="40"/>
      <c r="K230" s="40"/>
      <c r="O230" s="25"/>
      <c r="R230" s="25"/>
      <c r="U230" s="40"/>
    </row>
    <row r="231">
      <c r="A231" s="40"/>
      <c r="B231" s="40"/>
      <c r="D231" s="40"/>
      <c r="I231" s="41"/>
      <c r="J231" s="40"/>
      <c r="K231" s="40"/>
      <c r="O231" s="25"/>
      <c r="R231" s="25"/>
      <c r="U231" s="40"/>
    </row>
    <row r="232">
      <c r="A232" s="40"/>
      <c r="B232" s="40"/>
      <c r="D232" s="40"/>
      <c r="I232" s="41"/>
      <c r="J232" s="40"/>
      <c r="K232" s="40"/>
      <c r="O232" s="25"/>
      <c r="R232" s="25"/>
      <c r="U232" s="40"/>
    </row>
    <row r="233">
      <c r="A233" s="40"/>
      <c r="B233" s="40"/>
      <c r="D233" s="40"/>
      <c r="I233" s="41"/>
      <c r="J233" s="40"/>
      <c r="K233" s="40"/>
      <c r="O233" s="25"/>
      <c r="R233" s="25"/>
      <c r="U233" s="40"/>
    </row>
    <row r="234">
      <c r="A234" s="40"/>
      <c r="B234" s="40"/>
      <c r="D234" s="40"/>
      <c r="I234" s="41"/>
      <c r="J234" s="40"/>
      <c r="K234" s="40"/>
      <c r="O234" s="25"/>
      <c r="R234" s="25"/>
      <c r="U234" s="40"/>
    </row>
    <row r="235">
      <c r="A235" s="40"/>
      <c r="B235" s="40"/>
      <c r="D235" s="40"/>
      <c r="I235" s="41"/>
      <c r="J235" s="40"/>
      <c r="K235" s="40"/>
      <c r="O235" s="25"/>
      <c r="R235" s="25"/>
      <c r="U235" s="40"/>
    </row>
    <row r="236">
      <c r="A236" s="40"/>
      <c r="B236" s="40"/>
      <c r="D236" s="40"/>
      <c r="I236" s="41"/>
      <c r="J236" s="40"/>
      <c r="K236" s="40"/>
      <c r="O236" s="25"/>
      <c r="R236" s="25"/>
      <c r="U236" s="40"/>
    </row>
    <row r="237">
      <c r="A237" s="40"/>
      <c r="B237" s="40"/>
      <c r="D237" s="40"/>
      <c r="I237" s="41"/>
      <c r="J237" s="40"/>
      <c r="K237" s="40"/>
      <c r="O237" s="25"/>
      <c r="R237" s="25"/>
      <c r="U237" s="40"/>
    </row>
    <row r="238">
      <c r="A238" s="40"/>
      <c r="B238" s="40"/>
      <c r="D238" s="40"/>
      <c r="I238" s="41"/>
      <c r="J238" s="40"/>
      <c r="K238" s="40"/>
      <c r="O238" s="25"/>
      <c r="R238" s="25"/>
      <c r="U238" s="40"/>
    </row>
    <row r="239">
      <c r="A239" s="40"/>
      <c r="B239" s="40"/>
      <c r="D239" s="40"/>
      <c r="I239" s="41"/>
      <c r="J239" s="40"/>
      <c r="K239" s="40"/>
      <c r="O239" s="25"/>
      <c r="R239" s="25"/>
      <c r="U239" s="40"/>
    </row>
    <row r="240">
      <c r="A240" s="40"/>
      <c r="B240" s="40"/>
      <c r="D240" s="40"/>
      <c r="I240" s="41"/>
      <c r="J240" s="40"/>
      <c r="K240" s="40"/>
      <c r="O240" s="25"/>
      <c r="R240" s="25"/>
      <c r="U240" s="40"/>
    </row>
    <row r="241">
      <c r="A241" s="40"/>
      <c r="B241" s="40"/>
      <c r="D241" s="40"/>
      <c r="I241" s="41"/>
      <c r="J241" s="40"/>
      <c r="K241" s="40"/>
      <c r="O241" s="25"/>
      <c r="R241" s="25"/>
      <c r="U241" s="40"/>
    </row>
    <row r="242">
      <c r="A242" s="40"/>
      <c r="B242" s="40"/>
      <c r="D242" s="40"/>
      <c r="I242" s="41"/>
      <c r="J242" s="40"/>
      <c r="K242" s="40"/>
      <c r="O242" s="25"/>
      <c r="R242" s="25"/>
      <c r="U242" s="40"/>
    </row>
    <row r="243">
      <c r="A243" s="40"/>
      <c r="B243" s="40"/>
      <c r="D243" s="40"/>
      <c r="I243" s="41"/>
      <c r="J243" s="40"/>
      <c r="K243" s="40"/>
      <c r="O243" s="25"/>
      <c r="R243" s="25"/>
      <c r="U243" s="40"/>
    </row>
    <row r="244">
      <c r="A244" s="40"/>
      <c r="B244" s="40"/>
      <c r="D244" s="40"/>
      <c r="I244" s="41"/>
      <c r="J244" s="40"/>
      <c r="K244" s="40"/>
      <c r="O244" s="25"/>
      <c r="R244" s="25"/>
      <c r="U244" s="40"/>
    </row>
    <row r="245">
      <c r="A245" s="40"/>
      <c r="B245" s="40"/>
      <c r="D245" s="40"/>
      <c r="I245" s="41"/>
      <c r="J245" s="40"/>
      <c r="K245" s="40"/>
      <c r="O245" s="25"/>
      <c r="R245" s="25"/>
      <c r="U245" s="40"/>
    </row>
    <row r="246">
      <c r="A246" s="40"/>
      <c r="B246" s="40"/>
      <c r="D246" s="40"/>
      <c r="I246" s="41"/>
      <c r="J246" s="40"/>
      <c r="K246" s="40"/>
      <c r="O246" s="25"/>
      <c r="R246" s="25"/>
      <c r="U246" s="40"/>
    </row>
    <row r="247">
      <c r="A247" s="40"/>
      <c r="B247" s="40"/>
      <c r="D247" s="40"/>
      <c r="I247" s="41"/>
      <c r="J247" s="40"/>
      <c r="K247" s="40"/>
      <c r="O247" s="25"/>
      <c r="R247" s="25"/>
      <c r="U247" s="40"/>
    </row>
    <row r="248">
      <c r="A248" s="40"/>
      <c r="B248" s="40"/>
      <c r="D248" s="40"/>
      <c r="I248" s="41"/>
      <c r="J248" s="40"/>
      <c r="K248" s="40"/>
      <c r="O248" s="25"/>
      <c r="R248" s="25"/>
      <c r="U248" s="40"/>
    </row>
    <row r="249">
      <c r="A249" s="40"/>
      <c r="B249" s="40"/>
      <c r="D249" s="40"/>
      <c r="I249" s="41"/>
      <c r="J249" s="40"/>
      <c r="K249" s="40"/>
      <c r="O249" s="25"/>
      <c r="R249" s="25"/>
      <c r="U249" s="40"/>
    </row>
    <row r="250">
      <c r="A250" s="40"/>
      <c r="B250" s="40"/>
      <c r="D250" s="40"/>
      <c r="I250" s="41"/>
      <c r="J250" s="40"/>
      <c r="K250" s="40"/>
      <c r="O250" s="25"/>
      <c r="R250" s="25"/>
      <c r="U250" s="40"/>
    </row>
    <row r="251">
      <c r="A251" s="40"/>
      <c r="B251" s="40"/>
      <c r="D251" s="40"/>
      <c r="I251" s="41"/>
      <c r="J251" s="40"/>
      <c r="K251" s="40"/>
      <c r="O251" s="25"/>
      <c r="R251" s="25"/>
      <c r="U251" s="40"/>
    </row>
    <row r="252">
      <c r="A252" s="40"/>
      <c r="B252" s="40"/>
      <c r="D252" s="40"/>
      <c r="I252" s="41"/>
      <c r="J252" s="40"/>
      <c r="K252" s="40"/>
      <c r="O252" s="25"/>
      <c r="R252" s="25"/>
      <c r="U252" s="40"/>
    </row>
    <row r="253">
      <c r="A253" s="40"/>
      <c r="B253" s="40"/>
      <c r="D253" s="40"/>
      <c r="I253" s="41"/>
      <c r="J253" s="40"/>
      <c r="K253" s="40"/>
      <c r="O253" s="25"/>
      <c r="R253" s="25"/>
      <c r="U253" s="40"/>
    </row>
    <row r="254">
      <c r="A254" s="40"/>
      <c r="B254" s="40"/>
      <c r="D254" s="40"/>
      <c r="I254" s="41"/>
      <c r="J254" s="40"/>
      <c r="K254" s="40"/>
      <c r="O254" s="25"/>
      <c r="R254" s="25"/>
      <c r="U254" s="40"/>
    </row>
    <row r="255">
      <c r="A255" s="40"/>
      <c r="B255" s="40"/>
      <c r="D255" s="40"/>
      <c r="I255" s="41"/>
      <c r="J255" s="40"/>
      <c r="K255" s="40"/>
      <c r="O255" s="25"/>
      <c r="R255" s="25"/>
      <c r="U255" s="40"/>
    </row>
    <row r="256">
      <c r="A256" s="40"/>
      <c r="B256" s="40"/>
      <c r="D256" s="40"/>
      <c r="I256" s="41"/>
      <c r="J256" s="40"/>
      <c r="K256" s="40"/>
      <c r="O256" s="25"/>
      <c r="R256" s="25"/>
      <c r="U256" s="40"/>
    </row>
    <row r="257">
      <c r="A257" s="40"/>
      <c r="B257" s="40"/>
      <c r="D257" s="40"/>
      <c r="I257" s="41"/>
      <c r="J257" s="40"/>
      <c r="K257" s="40"/>
      <c r="O257" s="25"/>
      <c r="R257" s="25"/>
      <c r="U257" s="40"/>
    </row>
    <row r="258">
      <c r="A258" s="40"/>
      <c r="B258" s="40"/>
      <c r="D258" s="40"/>
      <c r="I258" s="41"/>
      <c r="J258" s="40"/>
      <c r="K258" s="40"/>
      <c r="O258" s="25"/>
      <c r="R258" s="25"/>
      <c r="U258" s="40"/>
    </row>
    <row r="259">
      <c r="A259" s="40"/>
      <c r="B259" s="40"/>
      <c r="D259" s="40"/>
      <c r="I259" s="41"/>
      <c r="J259" s="40"/>
      <c r="K259" s="40"/>
      <c r="O259" s="25"/>
      <c r="R259" s="25"/>
      <c r="U259" s="40"/>
    </row>
    <row r="260">
      <c r="A260" s="40"/>
      <c r="B260" s="40"/>
      <c r="D260" s="40"/>
      <c r="I260" s="41"/>
      <c r="J260" s="40"/>
      <c r="K260" s="40"/>
      <c r="O260" s="25"/>
      <c r="R260" s="25"/>
      <c r="U260" s="40"/>
    </row>
    <row r="261">
      <c r="A261" s="40"/>
      <c r="B261" s="40"/>
      <c r="D261" s="40"/>
      <c r="I261" s="41"/>
      <c r="J261" s="40"/>
      <c r="K261" s="40"/>
      <c r="O261" s="25"/>
      <c r="R261" s="25"/>
      <c r="U261" s="40"/>
    </row>
    <row r="262">
      <c r="A262" s="40"/>
      <c r="B262" s="40"/>
      <c r="D262" s="40"/>
      <c r="I262" s="41"/>
      <c r="J262" s="40"/>
      <c r="K262" s="40"/>
      <c r="O262" s="25"/>
      <c r="R262" s="25"/>
      <c r="U262" s="40"/>
    </row>
    <row r="263">
      <c r="A263" s="40"/>
      <c r="B263" s="40"/>
      <c r="D263" s="40"/>
      <c r="I263" s="41"/>
      <c r="J263" s="40"/>
      <c r="K263" s="40"/>
      <c r="O263" s="25"/>
      <c r="R263" s="25"/>
      <c r="U263" s="40"/>
    </row>
    <row r="264">
      <c r="A264" s="40"/>
      <c r="B264" s="40"/>
      <c r="D264" s="40"/>
      <c r="I264" s="41"/>
      <c r="J264" s="40"/>
      <c r="K264" s="40"/>
      <c r="O264" s="25"/>
      <c r="R264" s="25"/>
      <c r="U264" s="40"/>
    </row>
    <row r="265">
      <c r="A265" s="40"/>
      <c r="B265" s="40"/>
      <c r="D265" s="40"/>
      <c r="I265" s="41"/>
      <c r="J265" s="40"/>
      <c r="K265" s="40"/>
      <c r="O265" s="25"/>
      <c r="R265" s="25"/>
      <c r="U265" s="40"/>
    </row>
    <row r="266">
      <c r="A266" s="40"/>
      <c r="B266" s="40"/>
      <c r="D266" s="40"/>
      <c r="I266" s="41"/>
      <c r="J266" s="40"/>
      <c r="K266" s="40"/>
      <c r="O266" s="25"/>
      <c r="R266" s="25"/>
      <c r="U266" s="40"/>
    </row>
    <row r="267">
      <c r="A267" s="40"/>
      <c r="B267" s="40"/>
      <c r="D267" s="40"/>
      <c r="I267" s="41"/>
      <c r="J267" s="40"/>
      <c r="K267" s="40"/>
      <c r="O267" s="25"/>
      <c r="R267" s="25"/>
      <c r="U267" s="40"/>
    </row>
    <row r="268">
      <c r="A268" s="40"/>
      <c r="B268" s="40"/>
      <c r="D268" s="40"/>
      <c r="I268" s="41"/>
      <c r="J268" s="40"/>
      <c r="K268" s="40"/>
      <c r="O268" s="25"/>
      <c r="R268" s="25"/>
      <c r="U268" s="40"/>
    </row>
    <row r="269">
      <c r="A269" s="40"/>
      <c r="B269" s="40"/>
      <c r="D269" s="40"/>
      <c r="I269" s="41"/>
      <c r="J269" s="40"/>
      <c r="K269" s="40"/>
      <c r="O269" s="25"/>
      <c r="R269" s="25"/>
      <c r="U269" s="40"/>
    </row>
    <row r="270">
      <c r="A270" s="40"/>
      <c r="B270" s="40"/>
      <c r="D270" s="40"/>
      <c r="I270" s="41"/>
      <c r="J270" s="40"/>
      <c r="K270" s="40"/>
      <c r="O270" s="25"/>
      <c r="R270" s="25"/>
      <c r="U270" s="40"/>
    </row>
    <row r="271">
      <c r="A271" s="40"/>
      <c r="B271" s="40"/>
      <c r="D271" s="40"/>
      <c r="I271" s="41"/>
      <c r="J271" s="40"/>
      <c r="K271" s="40"/>
      <c r="O271" s="25"/>
      <c r="R271" s="25"/>
      <c r="U271" s="40"/>
    </row>
    <row r="272">
      <c r="A272" s="40"/>
      <c r="B272" s="40"/>
      <c r="D272" s="40"/>
      <c r="I272" s="41"/>
      <c r="J272" s="40"/>
      <c r="K272" s="40"/>
      <c r="O272" s="25"/>
      <c r="R272" s="25"/>
      <c r="U272" s="40"/>
    </row>
    <row r="273">
      <c r="A273" s="40"/>
      <c r="B273" s="40"/>
      <c r="D273" s="40"/>
      <c r="I273" s="41"/>
      <c r="J273" s="40"/>
      <c r="K273" s="40"/>
      <c r="O273" s="25"/>
      <c r="R273" s="25"/>
      <c r="U273" s="40"/>
    </row>
    <row r="274">
      <c r="A274" s="40"/>
      <c r="B274" s="40"/>
      <c r="D274" s="40"/>
      <c r="I274" s="41"/>
      <c r="J274" s="40"/>
      <c r="K274" s="40"/>
      <c r="O274" s="25"/>
      <c r="R274" s="25"/>
      <c r="U274" s="40"/>
    </row>
    <row r="275">
      <c r="A275" s="40"/>
      <c r="B275" s="40"/>
      <c r="D275" s="40"/>
      <c r="I275" s="41"/>
      <c r="J275" s="40"/>
      <c r="K275" s="40"/>
      <c r="O275" s="25"/>
      <c r="R275" s="25"/>
      <c r="U275" s="40"/>
    </row>
    <row r="276">
      <c r="A276" s="40"/>
      <c r="B276" s="40"/>
      <c r="D276" s="40"/>
      <c r="I276" s="41"/>
      <c r="J276" s="40"/>
      <c r="K276" s="40"/>
      <c r="O276" s="25"/>
      <c r="R276" s="25"/>
      <c r="U276" s="40"/>
    </row>
    <row r="277">
      <c r="A277" s="40"/>
      <c r="B277" s="40"/>
      <c r="D277" s="40"/>
      <c r="I277" s="41"/>
      <c r="J277" s="40"/>
      <c r="K277" s="40"/>
      <c r="O277" s="25"/>
      <c r="R277" s="25"/>
      <c r="U277" s="40"/>
    </row>
    <row r="278">
      <c r="A278" s="40"/>
      <c r="B278" s="40"/>
      <c r="D278" s="40"/>
      <c r="I278" s="41"/>
      <c r="J278" s="40"/>
      <c r="K278" s="40"/>
      <c r="O278" s="25"/>
      <c r="R278" s="25"/>
      <c r="U278" s="40"/>
    </row>
    <row r="279">
      <c r="A279" s="40"/>
      <c r="B279" s="40"/>
      <c r="D279" s="40"/>
      <c r="I279" s="41"/>
      <c r="J279" s="40"/>
      <c r="K279" s="40"/>
      <c r="O279" s="25"/>
      <c r="R279" s="25"/>
      <c r="U279" s="40"/>
    </row>
    <row r="280">
      <c r="A280" s="40"/>
      <c r="B280" s="40"/>
      <c r="D280" s="40"/>
      <c r="I280" s="41"/>
      <c r="J280" s="40"/>
      <c r="K280" s="40"/>
      <c r="O280" s="25"/>
      <c r="R280" s="25"/>
      <c r="U280" s="40"/>
    </row>
    <row r="281">
      <c r="A281" s="40"/>
      <c r="B281" s="40"/>
      <c r="D281" s="40"/>
      <c r="I281" s="41"/>
      <c r="J281" s="40"/>
      <c r="K281" s="40"/>
      <c r="O281" s="25"/>
      <c r="R281" s="25"/>
      <c r="U281" s="40"/>
    </row>
    <row r="282">
      <c r="A282" s="40"/>
      <c r="B282" s="40"/>
      <c r="D282" s="40"/>
      <c r="I282" s="41"/>
      <c r="J282" s="40"/>
      <c r="K282" s="40"/>
      <c r="O282" s="25"/>
      <c r="R282" s="25"/>
      <c r="U282" s="40"/>
    </row>
    <row r="283">
      <c r="A283" s="40"/>
      <c r="B283" s="40"/>
      <c r="D283" s="40"/>
      <c r="I283" s="41"/>
      <c r="J283" s="40"/>
      <c r="K283" s="40"/>
      <c r="O283" s="25"/>
      <c r="R283" s="25"/>
      <c r="U283" s="40"/>
    </row>
    <row r="284">
      <c r="A284" s="40"/>
      <c r="B284" s="40"/>
      <c r="D284" s="40"/>
      <c r="I284" s="41"/>
      <c r="J284" s="40"/>
      <c r="K284" s="40"/>
      <c r="O284" s="25"/>
      <c r="R284" s="25"/>
      <c r="U284" s="40"/>
    </row>
    <row r="285">
      <c r="A285" s="40"/>
      <c r="B285" s="40"/>
      <c r="D285" s="40"/>
      <c r="I285" s="41"/>
      <c r="J285" s="40"/>
      <c r="K285" s="40"/>
      <c r="O285" s="25"/>
      <c r="R285" s="25"/>
      <c r="U285" s="40"/>
    </row>
    <row r="286">
      <c r="A286" s="40"/>
      <c r="B286" s="40"/>
      <c r="D286" s="40"/>
      <c r="I286" s="41"/>
      <c r="J286" s="40"/>
      <c r="K286" s="40"/>
      <c r="O286" s="25"/>
      <c r="R286" s="25"/>
      <c r="U286" s="40"/>
    </row>
    <row r="287">
      <c r="A287" s="40"/>
      <c r="B287" s="40"/>
      <c r="D287" s="40"/>
      <c r="I287" s="41"/>
      <c r="J287" s="40"/>
      <c r="K287" s="40"/>
      <c r="O287" s="25"/>
      <c r="R287" s="25"/>
      <c r="U287" s="40"/>
    </row>
    <row r="288">
      <c r="A288" s="40"/>
      <c r="B288" s="40"/>
      <c r="D288" s="40"/>
      <c r="I288" s="41"/>
      <c r="J288" s="40"/>
      <c r="K288" s="40"/>
      <c r="O288" s="25"/>
      <c r="R288" s="25"/>
      <c r="U288" s="40"/>
    </row>
    <row r="289">
      <c r="A289" s="40"/>
      <c r="B289" s="40"/>
      <c r="D289" s="40"/>
      <c r="I289" s="41"/>
      <c r="J289" s="40"/>
      <c r="K289" s="40"/>
      <c r="O289" s="25"/>
      <c r="R289" s="25"/>
      <c r="U289" s="40"/>
    </row>
    <row r="290">
      <c r="A290" s="40"/>
      <c r="B290" s="40"/>
      <c r="D290" s="40"/>
      <c r="I290" s="41"/>
      <c r="J290" s="40"/>
      <c r="K290" s="40"/>
      <c r="O290" s="25"/>
      <c r="R290" s="25"/>
      <c r="U290" s="40"/>
    </row>
    <row r="291">
      <c r="A291" s="40"/>
      <c r="B291" s="40"/>
      <c r="D291" s="40"/>
      <c r="I291" s="41"/>
      <c r="J291" s="40"/>
      <c r="K291" s="40"/>
      <c r="O291" s="25"/>
      <c r="R291" s="25"/>
      <c r="U291" s="40"/>
    </row>
    <row r="292">
      <c r="A292" s="40"/>
      <c r="B292" s="40"/>
      <c r="D292" s="40"/>
      <c r="I292" s="41"/>
      <c r="J292" s="40"/>
      <c r="K292" s="40"/>
      <c r="O292" s="25"/>
      <c r="R292" s="25"/>
      <c r="U292" s="40"/>
    </row>
    <row r="293">
      <c r="A293" s="40"/>
      <c r="B293" s="40"/>
      <c r="D293" s="40"/>
      <c r="I293" s="41"/>
      <c r="J293" s="40"/>
      <c r="K293" s="40"/>
      <c r="O293" s="25"/>
      <c r="R293" s="25"/>
      <c r="U293" s="40"/>
    </row>
    <row r="294">
      <c r="A294" s="40"/>
      <c r="B294" s="40"/>
      <c r="D294" s="40"/>
      <c r="I294" s="41"/>
      <c r="J294" s="40"/>
      <c r="K294" s="40"/>
      <c r="O294" s="25"/>
      <c r="R294" s="25"/>
      <c r="U294" s="40"/>
    </row>
    <row r="295">
      <c r="A295" s="40"/>
      <c r="B295" s="40"/>
      <c r="D295" s="40"/>
      <c r="I295" s="41"/>
      <c r="J295" s="40"/>
      <c r="K295" s="40"/>
      <c r="O295" s="25"/>
      <c r="R295" s="25"/>
      <c r="U295" s="40"/>
    </row>
    <row r="296">
      <c r="A296" s="40"/>
      <c r="B296" s="40"/>
      <c r="D296" s="40"/>
      <c r="I296" s="41"/>
      <c r="J296" s="40"/>
      <c r="K296" s="40"/>
      <c r="O296" s="25"/>
      <c r="R296" s="25"/>
      <c r="U296" s="40"/>
    </row>
    <row r="297">
      <c r="A297" s="40"/>
      <c r="B297" s="40"/>
      <c r="D297" s="40"/>
      <c r="I297" s="41"/>
      <c r="J297" s="40"/>
      <c r="K297" s="40"/>
      <c r="O297" s="25"/>
      <c r="R297" s="25"/>
      <c r="U297" s="40"/>
    </row>
    <row r="298">
      <c r="A298" s="40"/>
      <c r="B298" s="40"/>
      <c r="D298" s="40"/>
      <c r="I298" s="41"/>
      <c r="J298" s="40"/>
      <c r="K298" s="40"/>
      <c r="O298" s="25"/>
      <c r="R298" s="25"/>
      <c r="U298" s="40"/>
    </row>
    <row r="299">
      <c r="A299" s="40"/>
      <c r="B299" s="40"/>
      <c r="D299" s="40"/>
      <c r="I299" s="41"/>
      <c r="J299" s="40"/>
      <c r="K299" s="40"/>
      <c r="O299" s="25"/>
      <c r="R299" s="25"/>
      <c r="U299" s="40"/>
    </row>
    <row r="300">
      <c r="A300" s="40"/>
      <c r="B300" s="40"/>
      <c r="D300" s="40"/>
      <c r="I300" s="41"/>
      <c r="J300" s="40"/>
      <c r="K300" s="40"/>
      <c r="O300" s="25"/>
      <c r="R300" s="25"/>
      <c r="U300" s="40"/>
    </row>
    <row r="301">
      <c r="A301" s="40"/>
      <c r="B301" s="40"/>
      <c r="D301" s="40"/>
      <c r="I301" s="41"/>
      <c r="J301" s="40"/>
      <c r="K301" s="40"/>
      <c r="O301" s="25"/>
      <c r="R301" s="25"/>
      <c r="U301" s="40"/>
    </row>
    <row r="302">
      <c r="A302" s="40"/>
      <c r="B302" s="40"/>
      <c r="D302" s="40"/>
      <c r="I302" s="41"/>
      <c r="J302" s="40"/>
      <c r="K302" s="40"/>
      <c r="O302" s="25"/>
      <c r="R302" s="25"/>
      <c r="U302" s="40"/>
    </row>
    <row r="303">
      <c r="A303" s="40"/>
      <c r="B303" s="40"/>
      <c r="D303" s="40"/>
      <c r="I303" s="41"/>
      <c r="J303" s="40"/>
      <c r="K303" s="40"/>
      <c r="O303" s="25"/>
      <c r="R303" s="25"/>
      <c r="U303" s="40"/>
    </row>
    <row r="304">
      <c r="A304" s="40"/>
      <c r="B304" s="40"/>
      <c r="D304" s="40"/>
      <c r="I304" s="41"/>
      <c r="J304" s="40"/>
      <c r="K304" s="40"/>
      <c r="O304" s="25"/>
      <c r="R304" s="25"/>
      <c r="U304" s="40"/>
    </row>
    <row r="305">
      <c r="A305" s="40"/>
      <c r="B305" s="40"/>
      <c r="D305" s="40"/>
      <c r="I305" s="41"/>
      <c r="J305" s="40"/>
      <c r="K305" s="40"/>
      <c r="O305" s="25"/>
      <c r="R305" s="25"/>
      <c r="U305" s="40"/>
    </row>
    <row r="306">
      <c r="A306" s="40"/>
      <c r="B306" s="40"/>
      <c r="D306" s="40"/>
      <c r="I306" s="41"/>
      <c r="J306" s="40"/>
      <c r="K306" s="40"/>
      <c r="O306" s="25"/>
      <c r="R306" s="25"/>
      <c r="U306" s="40"/>
    </row>
    <row r="307">
      <c r="A307" s="40"/>
      <c r="B307" s="40"/>
      <c r="D307" s="40"/>
      <c r="I307" s="41"/>
      <c r="J307" s="40"/>
      <c r="K307" s="40"/>
      <c r="O307" s="25"/>
      <c r="R307" s="25"/>
      <c r="U307" s="40"/>
    </row>
    <row r="308">
      <c r="A308" s="40"/>
      <c r="B308" s="40"/>
      <c r="D308" s="40"/>
      <c r="I308" s="41"/>
      <c r="J308" s="40"/>
      <c r="K308" s="40"/>
      <c r="O308" s="25"/>
      <c r="R308" s="25"/>
      <c r="U308" s="40"/>
    </row>
    <row r="309">
      <c r="A309" s="40"/>
      <c r="B309" s="40"/>
      <c r="D309" s="40"/>
      <c r="I309" s="41"/>
      <c r="J309" s="40"/>
      <c r="K309" s="40"/>
      <c r="O309" s="25"/>
      <c r="R309" s="25"/>
      <c r="U309" s="40"/>
    </row>
    <row r="310">
      <c r="A310" s="40"/>
      <c r="B310" s="40"/>
      <c r="D310" s="40"/>
      <c r="I310" s="41"/>
      <c r="J310" s="40"/>
      <c r="K310" s="40"/>
      <c r="O310" s="25"/>
      <c r="R310" s="25"/>
      <c r="U310" s="40"/>
    </row>
    <row r="311">
      <c r="A311" s="40"/>
      <c r="B311" s="40"/>
      <c r="D311" s="40"/>
      <c r="I311" s="41"/>
      <c r="J311" s="40"/>
      <c r="K311" s="40"/>
      <c r="O311" s="25"/>
      <c r="R311" s="25"/>
      <c r="U311" s="40"/>
    </row>
    <row r="312">
      <c r="A312" s="40"/>
      <c r="B312" s="40"/>
      <c r="D312" s="40"/>
      <c r="I312" s="41"/>
      <c r="J312" s="40"/>
      <c r="K312" s="40"/>
      <c r="O312" s="25"/>
      <c r="R312" s="25"/>
      <c r="U312" s="40"/>
    </row>
    <row r="313">
      <c r="A313" s="40"/>
      <c r="B313" s="40"/>
      <c r="D313" s="40"/>
      <c r="I313" s="41"/>
      <c r="J313" s="40"/>
      <c r="K313" s="40"/>
      <c r="O313" s="25"/>
      <c r="R313" s="25"/>
      <c r="U313" s="40"/>
    </row>
    <row r="314">
      <c r="A314" s="40"/>
      <c r="B314" s="40"/>
      <c r="D314" s="40"/>
      <c r="I314" s="41"/>
      <c r="J314" s="40"/>
      <c r="K314" s="40"/>
      <c r="O314" s="25"/>
      <c r="R314" s="25"/>
      <c r="U314" s="40"/>
    </row>
    <row r="315">
      <c r="A315" s="40"/>
      <c r="B315" s="40"/>
      <c r="D315" s="40"/>
      <c r="I315" s="41"/>
      <c r="J315" s="40"/>
      <c r="K315" s="40"/>
      <c r="O315" s="25"/>
      <c r="R315" s="25"/>
      <c r="U315" s="40"/>
    </row>
    <row r="316">
      <c r="A316" s="40"/>
      <c r="B316" s="40"/>
      <c r="D316" s="40"/>
      <c r="I316" s="41"/>
      <c r="J316" s="40"/>
      <c r="K316" s="40"/>
      <c r="O316" s="25"/>
      <c r="R316" s="25"/>
      <c r="U316" s="40"/>
    </row>
    <row r="317">
      <c r="A317" s="40"/>
      <c r="B317" s="40"/>
      <c r="D317" s="40"/>
      <c r="I317" s="41"/>
      <c r="J317" s="40"/>
      <c r="K317" s="40"/>
      <c r="O317" s="25"/>
      <c r="R317" s="25"/>
      <c r="U317" s="40"/>
    </row>
    <row r="318">
      <c r="A318" s="40"/>
      <c r="B318" s="40"/>
      <c r="D318" s="40"/>
      <c r="I318" s="41"/>
      <c r="J318" s="40"/>
      <c r="K318" s="40"/>
      <c r="O318" s="25"/>
      <c r="R318" s="25"/>
      <c r="U318" s="40"/>
    </row>
    <row r="319">
      <c r="A319" s="40"/>
      <c r="B319" s="40"/>
      <c r="D319" s="40"/>
      <c r="I319" s="41"/>
      <c r="J319" s="40"/>
      <c r="K319" s="40"/>
      <c r="O319" s="25"/>
      <c r="R319" s="25"/>
      <c r="U319" s="40"/>
    </row>
    <row r="320">
      <c r="A320" s="40"/>
      <c r="B320" s="40"/>
      <c r="D320" s="40"/>
      <c r="I320" s="41"/>
      <c r="J320" s="40"/>
      <c r="K320" s="40"/>
      <c r="O320" s="25"/>
      <c r="R320" s="25"/>
      <c r="U320" s="40"/>
    </row>
    <row r="321">
      <c r="A321" s="40"/>
      <c r="B321" s="40"/>
      <c r="D321" s="40"/>
      <c r="I321" s="41"/>
      <c r="J321" s="40"/>
      <c r="K321" s="40"/>
      <c r="O321" s="25"/>
      <c r="R321" s="25"/>
      <c r="U321" s="40"/>
    </row>
    <row r="322">
      <c r="A322" s="40"/>
      <c r="B322" s="40"/>
      <c r="D322" s="40"/>
      <c r="I322" s="41"/>
      <c r="J322" s="40"/>
      <c r="K322" s="40"/>
      <c r="O322" s="25"/>
      <c r="R322" s="25"/>
      <c r="U322" s="40"/>
    </row>
    <row r="323">
      <c r="A323" s="40"/>
      <c r="B323" s="40"/>
      <c r="D323" s="40"/>
      <c r="I323" s="41"/>
      <c r="J323" s="40"/>
      <c r="K323" s="40"/>
      <c r="O323" s="25"/>
      <c r="R323" s="25"/>
      <c r="U323" s="40"/>
    </row>
    <row r="324">
      <c r="A324" s="40"/>
      <c r="B324" s="40"/>
      <c r="D324" s="40"/>
      <c r="I324" s="41"/>
      <c r="J324" s="40"/>
      <c r="K324" s="40"/>
      <c r="O324" s="25"/>
      <c r="R324" s="25"/>
      <c r="U324" s="40"/>
    </row>
    <row r="325">
      <c r="A325" s="40"/>
      <c r="B325" s="40"/>
      <c r="D325" s="40"/>
      <c r="I325" s="41"/>
      <c r="J325" s="40"/>
      <c r="K325" s="40"/>
      <c r="O325" s="25"/>
      <c r="R325" s="25"/>
      <c r="U325" s="40"/>
    </row>
    <row r="326">
      <c r="A326" s="40"/>
      <c r="B326" s="40"/>
      <c r="D326" s="40"/>
      <c r="I326" s="41"/>
      <c r="J326" s="40"/>
      <c r="K326" s="40"/>
      <c r="O326" s="25"/>
      <c r="R326" s="25"/>
      <c r="U326" s="40"/>
    </row>
    <row r="327">
      <c r="A327" s="40"/>
      <c r="B327" s="40"/>
      <c r="D327" s="40"/>
      <c r="I327" s="41"/>
      <c r="J327" s="40"/>
      <c r="K327" s="40"/>
      <c r="O327" s="25"/>
      <c r="R327" s="25"/>
      <c r="U327" s="40"/>
    </row>
    <row r="328">
      <c r="A328" s="40"/>
      <c r="B328" s="40"/>
      <c r="D328" s="40"/>
      <c r="I328" s="41"/>
      <c r="J328" s="40"/>
      <c r="K328" s="40"/>
      <c r="O328" s="25"/>
      <c r="R328" s="25"/>
      <c r="U328" s="40"/>
    </row>
    <row r="329">
      <c r="A329" s="40"/>
      <c r="B329" s="40"/>
      <c r="D329" s="40"/>
      <c r="I329" s="41"/>
      <c r="J329" s="40"/>
      <c r="K329" s="40"/>
      <c r="O329" s="25"/>
      <c r="R329" s="25"/>
      <c r="U329" s="40"/>
    </row>
    <row r="330">
      <c r="A330" s="40"/>
      <c r="B330" s="40"/>
      <c r="D330" s="40"/>
      <c r="I330" s="41"/>
      <c r="J330" s="40"/>
      <c r="K330" s="40"/>
      <c r="O330" s="25"/>
      <c r="R330" s="25"/>
      <c r="U330" s="40"/>
    </row>
    <row r="331">
      <c r="A331" s="40"/>
      <c r="B331" s="40"/>
      <c r="D331" s="40"/>
      <c r="I331" s="41"/>
      <c r="J331" s="40"/>
      <c r="K331" s="40"/>
      <c r="O331" s="25"/>
      <c r="R331" s="25"/>
      <c r="U331" s="40"/>
    </row>
    <row r="332">
      <c r="A332" s="40"/>
      <c r="B332" s="40"/>
      <c r="D332" s="40"/>
      <c r="I332" s="41"/>
      <c r="J332" s="40"/>
      <c r="K332" s="40"/>
      <c r="O332" s="25"/>
      <c r="R332" s="25"/>
      <c r="U332" s="40"/>
    </row>
    <row r="333">
      <c r="A333" s="40"/>
      <c r="B333" s="40"/>
      <c r="D333" s="40"/>
      <c r="I333" s="41"/>
      <c r="J333" s="40"/>
      <c r="K333" s="40"/>
      <c r="O333" s="25"/>
      <c r="R333" s="25"/>
      <c r="U333" s="40"/>
    </row>
    <row r="334">
      <c r="A334" s="40"/>
      <c r="B334" s="40"/>
      <c r="D334" s="40"/>
      <c r="I334" s="41"/>
      <c r="J334" s="40"/>
      <c r="K334" s="40"/>
      <c r="O334" s="25"/>
      <c r="R334" s="25"/>
      <c r="U334" s="40"/>
    </row>
    <row r="335">
      <c r="A335" s="40"/>
      <c r="B335" s="40"/>
      <c r="D335" s="40"/>
      <c r="I335" s="41"/>
      <c r="J335" s="40"/>
      <c r="K335" s="40"/>
      <c r="O335" s="25"/>
      <c r="R335" s="25"/>
      <c r="U335" s="40"/>
    </row>
    <row r="336">
      <c r="A336" s="40"/>
      <c r="B336" s="40"/>
      <c r="D336" s="40"/>
      <c r="I336" s="41"/>
      <c r="J336" s="40"/>
      <c r="K336" s="40"/>
      <c r="O336" s="25"/>
      <c r="R336" s="25"/>
      <c r="U336" s="40"/>
    </row>
    <row r="337">
      <c r="A337" s="40"/>
      <c r="B337" s="40"/>
      <c r="D337" s="40"/>
      <c r="I337" s="41"/>
      <c r="J337" s="40"/>
      <c r="K337" s="40"/>
      <c r="O337" s="25"/>
      <c r="R337" s="25"/>
      <c r="U337" s="40"/>
    </row>
    <row r="338">
      <c r="A338" s="40"/>
      <c r="B338" s="40"/>
      <c r="D338" s="40"/>
      <c r="I338" s="41"/>
      <c r="J338" s="40"/>
      <c r="K338" s="40"/>
      <c r="O338" s="25"/>
      <c r="R338" s="25"/>
      <c r="U338" s="40"/>
    </row>
    <row r="339">
      <c r="A339" s="40"/>
      <c r="B339" s="40"/>
      <c r="D339" s="40"/>
      <c r="I339" s="41"/>
      <c r="J339" s="40"/>
      <c r="K339" s="40"/>
      <c r="O339" s="25"/>
      <c r="R339" s="25"/>
      <c r="U339" s="40"/>
    </row>
    <row r="340">
      <c r="A340" s="40"/>
      <c r="B340" s="40"/>
      <c r="D340" s="40"/>
      <c r="I340" s="41"/>
      <c r="J340" s="40"/>
      <c r="K340" s="40"/>
      <c r="O340" s="25"/>
      <c r="R340" s="25"/>
      <c r="U340" s="40"/>
    </row>
    <row r="341">
      <c r="A341" s="40"/>
      <c r="B341" s="40"/>
      <c r="D341" s="40"/>
      <c r="I341" s="41"/>
      <c r="J341" s="40"/>
      <c r="K341" s="40"/>
      <c r="O341" s="25"/>
      <c r="R341" s="25"/>
      <c r="U341" s="40"/>
    </row>
    <row r="342">
      <c r="A342" s="40"/>
      <c r="B342" s="40"/>
      <c r="D342" s="40"/>
      <c r="I342" s="41"/>
      <c r="J342" s="40"/>
      <c r="K342" s="40"/>
      <c r="O342" s="25"/>
      <c r="R342" s="25"/>
      <c r="U342" s="40"/>
    </row>
    <row r="343">
      <c r="A343" s="40"/>
      <c r="B343" s="40"/>
      <c r="D343" s="40"/>
      <c r="I343" s="41"/>
      <c r="J343" s="40"/>
      <c r="K343" s="40"/>
      <c r="O343" s="25"/>
      <c r="R343" s="25"/>
      <c r="U343" s="40"/>
    </row>
    <row r="344">
      <c r="A344" s="40"/>
      <c r="B344" s="40"/>
      <c r="D344" s="40"/>
      <c r="I344" s="41"/>
      <c r="J344" s="40"/>
      <c r="K344" s="40"/>
      <c r="O344" s="25"/>
      <c r="R344" s="25"/>
      <c r="U344" s="40"/>
    </row>
    <row r="345">
      <c r="A345" s="40"/>
      <c r="B345" s="40"/>
      <c r="D345" s="40"/>
      <c r="I345" s="41"/>
      <c r="J345" s="40"/>
      <c r="K345" s="40"/>
      <c r="O345" s="25"/>
      <c r="R345" s="25"/>
      <c r="U345" s="40"/>
    </row>
    <row r="346">
      <c r="A346" s="40"/>
      <c r="B346" s="40"/>
      <c r="D346" s="40"/>
      <c r="I346" s="41"/>
      <c r="J346" s="40"/>
      <c r="K346" s="40"/>
      <c r="O346" s="25"/>
      <c r="R346" s="25"/>
      <c r="U346" s="40"/>
    </row>
    <row r="347">
      <c r="A347" s="40"/>
      <c r="B347" s="40"/>
      <c r="D347" s="40"/>
      <c r="I347" s="41"/>
      <c r="J347" s="40"/>
      <c r="K347" s="40"/>
      <c r="O347" s="25"/>
      <c r="R347" s="25"/>
      <c r="U347" s="40"/>
    </row>
    <row r="348">
      <c r="A348" s="40"/>
      <c r="B348" s="40"/>
      <c r="D348" s="40"/>
      <c r="I348" s="41"/>
      <c r="J348" s="40"/>
      <c r="K348" s="40"/>
      <c r="O348" s="25"/>
      <c r="R348" s="25"/>
      <c r="U348" s="40"/>
    </row>
    <row r="349">
      <c r="A349" s="40"/>
      <c r="B349" s="40"/>
      <c r="D349" s="40"/>
      <c r="I349" s="41"/>
      <c r="J349" s="40"/>
      <c r="K349" s="40"/>
      <c r="O349" s="25"/>
      <c r="R349" s="25"/>
      <c r="U349" s="40"/>
    </row>
    <row r="350">
      <c r="A350" s="40"/>
      <c r="B350" s="40"/>
      <c r="D350" s="40"/>
      <c r="I350" s="41"/>
      <c r="J350" s="40"/>
      <c r="K350" s="40"/>
      <c r="O350" s="25"/>
      <c r="R350" s="25"/>
      <c r="U350" s="40"/>
    </row>
    <row r="351">
      <c r="A351" s="40"/>
      <c r="B351" s="40"/>
      <c r="D351" s="40"/>
      <c r="I351" s="41"/>
      <c r="J351" s="40"/>
      <c r="K351" s="40"/>
      <c r="O351" s="25"/>
      <c r="R351" s="25"/>
      <c r="U351" s="40"/>
    </row>
    <row r="352">
      <c r="A352" s="40"/>
      <c r="B352" s="40"/>
      <c r="D352" s="40"/>
      <c r="I352" s="41"/>
      <c r="J352" s="40"/>
      <c r="K352" s="40"/>
      <c r="O352" s="25"/>
      <c r="R352" s="25"/>
      <c r="U352" s="40"/>
    </row>
    <row r="353">
      <c r="A353" s="40"/>
      <c r="B353" s="40"/>
      <c r="D353" s="40"/>
      <c r="I353" s="41"/>
      <c r="J353" s="40"/>
      <c r="K353" s="40"/>
      <c r="O353" s="25"/>
      <c r="R353" s="25"/>
      <c r="U353" s="40"/>
    </row>
    <row r="354">
      <c r="A354" s="40"/>
      <c r="B354" s="40"/>
      <c r="D354" s="40"/>
      <c r="I354" s="41"/>
      <c r="J354" s="40"/>
      <c r="K354" s="40"/>
      <c r="O354" s="25"/>
      <c r="R354" s="25"/>
      <c r="U354" s="40"/>
    </row>
    <row r="355">
      <c r="A355" s="40"/>
      <c r="B355" s="40"/>
      <c r="D355" s="40"/>
      <c r="I355" s="41"/>
      <c r="J355" s="40"/>
      <c r="K355" s="40"/>
      <c r="O355" s="25"/>
      <c r="R355" s="25"/>
      <c r="U355" s="40"/>
    </row>
    <row r="356">
      <c r="A356" s="40"/>
      <c r="B356" s="40"/>
      <c r="D356" s="40"/>
      <c r="I356" s="41"/>
      <c r="J356" s="40"/>
      <c r="K356" s="40"/>
      <c r="O356" s="25"/>
      <c r="R356" s="25"/>
      <c r="U356" s="40"/>
    </row>
    <row r="357">
      <c r="A357" s="40"/>
      <c r="B357" s="40"/>
      <c r="D357" s="40"/>
      <c r="I357" s="41"/>
      <c r="J357" s="40"/>
      <c r="K357" s="40"/>
      <c r="O357" s="25"/>
      <c r="R357" s="25"/>
      <c r="U357" s="40"/>
    </row>
    <row r="358">
      <c r="A358" s="40"/>
      <c r="B358" s="40"/>
      <c r="D358" s="40"/>
      <c r="I358" s="41"/>
      <c r="J358" s="40"/>
      <c r="K358" s="40"/>
      <c r="O358" s="25"/>
      <c r="R358" s="25"/>
      <c r="U358" s="40"/>
    </row>
    <row r="359">
      <c r="A359" s="40"/>
      <c r="B359" s="40"/>
      <c r="D359" s="40"/>
      <c r="I359" s="41"/>
      <c r="J359" s="40"/>
      <c r="K359" s="40"/>
      <c r="O359" s="25"/>
      <c r="R359" s="25"/>
      <c r="U359" s="40"/>
    </row>
    <row r="360">
      <c r="A360" s="40"/>
      <c r="B360" s="40"/>
      <c r="D360" s="40"/>
      <c r="I360" s="41"/>
      <c r="J360" s="40"/>
      <c r="K360" s="40"/>
      <c r="O360" s="25"/>
      <c r="R360" s="25"/>
      <c r="U360" s="40"/>
    </row>
    <row r="361">
      <c r="A361" s="40"/>
      <c r="B361" s="40"/>
      <c r="D361" s="40"/>
      <c r="I361" s="41"/>
      <c r="J361" s="40"/>
      <c r="K361" s="40"/>
      <c r="O361" s="25"/>
      <c r="R361" s="25"/>
      <c r="U361" s="40"/>
    </row>
    <row r="362">
      <c r="A362" s="40"/>
      <c r="B362" s="40"/>
      <c r="D362" s="40"/>
      <c r="I362" s="41"/>
      <c r="J362" s="40"/>
      <c r="K362" s="40"/>
      <c r="O362" s="25"/>
      <c r="R362" s="25"/>
      <c r="U362" s="40"/>
    </row>
    <row r="363">
      <c r="A363" s="40"/>
      <c r="B363" s="40"/>
      <c r="D363" s="40"/>
      <c r="I363" s="41"/>
      <c r="J363" s="40"/>
      <c r="K363" s="40"/>
      <c r="O363" s="25"/>
      <c r="R363" s="25"/>
      <c r="U363" s="40"/>
    </row>
    <row r="364">
      <c r="A364" s="40"/>
      <c r="B364" s="40"/>
      <c r="D364" s="40"/>
      <c r="I364" s="41"/>
      <c r="J364" s="40"/>
      <c r="K364" s="40"/>
      <c r="O364" s="25"/>
      <c r="R364" s="25"/>
      <c r="U364" s="40"/>
    </row>
    <row r="365">
      <c r="A365" s="40"/>
      <c r="B365" s="40"/>
      <c r="D365" s="40"/>
      <c r="I365" s="41"/>
      <c r="J365" s="40"/>
      <c r="K365" s="40"/>
      <c r="O365" s="25"/>
      <c r="R365" s="25"/>
      <c r="U365" s="40"/>
    </row>
    <row r="366">
      <c r="A366" s="40"/>
      <c r="B366" s="40"/>
      <c r="D366" s="40"/>
      <c r="I366" s="41"/>
      <c r="J366" s="40"/>
      <c r="K366" s="40"/>
      <c r="O366" s="25"/>
      <c r="R366" s="25"/>
      <c r="U366" s="40"/>
    </row>
    <row r="367">
      <c r="A367" s="40"/>
      <c r="B367" s="40"/>
      <c r="D367" s="40"/>
      <c r="I367" s="41"/>
      <c r="J367" s="40"/>
      <c r="K367" s="40"/>
      <c r="O367" s="25"/>
      <c r="R367" s="25"/>
      <c r="U367" s="40"/>
    </row>
    <row r="368">
      <c r="A368" s="40"/>
      <c r="B368" s="40"/>
      <c r="D368" s="40"/>
      <c r="I368" s="41"/>
      <c r="J368" s="40"/>
      <c r="K368" s="40"/>
      <c r="O368" s="25"/>
      <c r="R368" s="25"/>
      <c r="U368" s="40"/>
    </row>
    <row r="369">
      <c r="A369" s="40"/>
      <c r="B369" s="40"/>
      <c r="D369" s="40"/>
      <c r="I369" s="41"/>
      <c r="J369" s="40"/>
      <c r="K369" s="40"/>
      <c r="O369" s="25"/>
      <c r="R369" s="25"/>
      <c r="U369" s="40"/>
    </row>
    <row r="370">
      <c r="A370" s="40"/>
      <c r="B370" s="40"/>
      <c r="D370" s="40"/>
      <c r="I370" s="41"/>
      <c r="J370" s="40"/>
      <c r="K370" s="40"/>
      <c r="O370" s="25"/>
      <c r="R370" s="25"/>
      <c r="U370" s="40"/>
    </row>
    <row r="371">
      <c r="A371" s="40"/>
      <c r="B371" s="40"/>
      <c r="D371" s="40"/>
      <c r="I371" s="41"/>
      <c r="J371" s="40"/>
      <c r="K371" s="40"/>
      <c r="O371" s="25"/>
      <c r="R371" s="25"/>
      <c r="U371" s="40"/>
    </row>
    <row r="372">
      <c r="A372" s="40"/>
      <c r="B372" s="40"/>
      <c r="D372" s="40"/>
      <c r="I372" s="41"/>
      <c r="J372" s="40"/>
      <c r="K372" s="40"/>
      <c r="O372" s="25"/>
      <c r="R372" s="25"/>
      <c r="U372" s="40"/>
    </row>
    <row r="373">
      <c r="A373" s="40"/>
      <c r="B373" s="40"/>
      <c r="D373" s="40"/>
      <c r="I373" s="41"/>
      <c r="J373" s="40"/>
      <c r="K373" s="40"/>
      <c r="O373" s="25"/>
      <c r="R373" s="25"/>
      <c r="U373" s="40"/>
    </row>
    <row r="374">
      <c r="A374" s="40"/>
      <c r="B374" s="40"/>
      <c r="D374" s="40"/>
      <c r="I374" s="41"/>
      <c r="J374" s="40"/>
      <c r="K374" s="40"/>
      <c r="O374" s="25"/>
      <c r="R374" s="25"/>
      <c r="U374" s="40"/>
    </row>
    <row r="375">
      <c r="A375" s="40"/>
      <c r="B375" s="40"/>
      <c r="D375" s="40"/>
      <c r="I375" s="41"/>
      <c r="J375" s="40"/>
      <c r="K375" s="40"/>
      <c r="O375" s="25"/>
      <c r="R375" s="25"/>
      <c r="U375" s="40"/>
    </row>
    <row r="376">
      <c r="A376" s="40"/>
      <c r="B376" s="40"/>
      <c r="D376" s="40"/>
      <c r="I376" s="41"/>
      <c r="J376" s="40"/>
      <c r="K376" s="40"/>
      <c r="O376" s="25"/>
      <c r="R376" s="25"/>
      <c r="U376" s="40"/>
    </row>
    <row r="377">
      <c r="A377" s="40"/>
      <c r="B377" s="40"/>
      <c r="D377" s="40"/>
      <c r="I377" s="41"/>
      <c r="J377" s="40"/>
      <c r="K377" s="40"/>
      <c r="O377" s="25"/>
      <c r="R377" s="25"/>
      <c r="U377" s="40"/>
    </row>
    <row r="378">
      <c r="A378" s="40"/>
      <c r="B378" s="40"/>
      <c r="D378" s="40"/>
      <c r="I378" s="41"/>
      <c r="J378" s="40"/>
      <c r="K378" s="40"/>
      <c r="O378" s="25"/>
      <c r="R378" s="25"/>
      <c r="U378" s="40"/>
    </row>
    <row r="379">
      <c r="A379" s="40"/>
      <c r="B379" s="40"/>
      <c r="D379" s="40"/>
      <c r="I379" s="41"/>
      <c r="J379" s="40"/>
      <c r="K379" s="40"/>
      <c r="O379" s="25"/>
      <c r="R379" s="25"/>
      <c r="U379" s="40"/>
    </row>
    <row r="380">
      <c r="A380" s="40"/>
      <c r="B380" s="40"/>
      <c r="D380" s="40"/>
      <c r="I380" s="41"/>
      <c r="J380" s="40"/>
      <c r="K380" s="40"/>
      <c r="O380" s="25"/>
      <c r="R380" s="25"/>
      <c r="U380" s="40"/>
    </row>
    <row r="381">
      <c r="A381" s="40"/>
      <c r="B381" s="40"/>
      <c r="D381" s="40"/>
      <c r="I381" s="41"/>
      <c r="J381" s="40"/>
      <c r="K381" s="40"/>
      <c r="O381" s="25"/>
      <c r="R381" s="25"/>
      <c r="U381" s="40"/>
    </row>
    <row r="382">
      <c r="A382" s="40"/>
      <c r="B382" s="40"/>
      <c r="D382" s="40"/>
      <c r="I382" s="41"/>
      <c r="J382" s="40"/>
      <c r="K382" s="40"/>
      <c r="O382" s="25"/>
      <c r="R382" s="25"/>
      <c r="U382" s="40"/>
    </row>
    <row r="383">
      <c r="A383" s="40"/>
      <c r="B383" s="40"/>
      <c r="D383" s="40"/>
      <c r="I383" s="41"/>
      <c r="J383" s="40"/>
      <c r="K383" s="40"/>
      <c r="O383" s="25"/>
      <c r="R383" s="25"/>
      <c r="U383" s="40"/>
    </row>
    <row r="384">
      <c r="A384" s="40"/>
      <c r="B384" s="40"/>
      <c r="D384" s="40"/>
      <c r="I384" s="41"/>
      <c r="J384" s="40"/>
      <c r="K384" s="40"/>
      <c r="O384" s="25"/>
      <c r="R384" s="25"/>
      <c r="U384" s="40"/>
    </row>
    <row r="385">
      <c r="A385" s="40"/>
      <c r="B385" s="40"/>
      <c r="D385" s="40"/>
      <c r="I385" s="41"/>
      <c r="J385" s="40"/>
      <c r="K385" s="40"/>
      <c r="O385" s="25"/>
      <c r="R385" s="25"/>
      <c r="U385" s="40"/>
    </row>
    <row r="386">
      <c r="A386" s="40"/>
      <c r="B386" s="40"/>
      <c r="D386" s="40"/>
      <c r="I386" s="41"/>
      <c r="J386" s="40"/>
      <c r="K386" s="40"/>
      <c r="O386" s="25"/>
      <c r="R386" s="25"/>
      <c r="U386" s="40"/>
    </row>
    <row r="387">
      <c r="A387" s="40"/>
      <c r="B387" s="40"/>
      <c r="D387" s="40"/>
      <c r="I387" s="41"/>
      <c r="J387" s="40"/>
      <c r="K387" s="40"/>
      <c r="O387" s="25"/>
      <c r="R387" s="25"/>
      <c r="U387" s="40"/>
    </row>
    <row r="388">
      <c r="A388" s="40"/>
      <c r="B388" s="40"/>
      <c r="D388" s="40"/>
      <c r="I388" s="41"/>
      <c r="J388" s="40"/>
      <c r="K388" s="40"/>
      <c r="O388" s="25"/>
      <c r="R388" s="25"/>
      <c r="U388" s="40"/>
    </row>
    <row r="389">
      <c r="A389" s="40"/>
      <c r="B389" s="40"/>
      <c r="D389" s="40"/>
      <c r="I389" s="41"/>
      <c r="J389" s="40"/>
      <c r="K389" s="40"/>
      <c r="O389" s="25"/>
      <c r="R389" s="25"/>
      <c r="U389" s="40"/>
    </row>
    <row r="390">
      <c r="A390" s="40"/>
      <c r="B390" s="40"/>
      <c r="D390" s="40"/>
      <c r="I390" s="41"/>
      <c r="J390" s="40"/>
      <c r="K390" s="40"/>
      <c r="O390" s="25"/>
      <c r="R390" s="25"/>
      <c r="U390" s="40"/>
    </row>
    <row r="391">
      <c r="A391" s="40"/>
      <c r="B391" s="40"/>
      <c r="D391" s="40"/>
      <c r="I391" s="41"/>
      <c r="J391" s="40"/>
      <c r="K391" s="40"/>
      <c r="O391" s="25"/>
      <c r="R391" s="25"/>
      <c r="U391" s="40"/>
    </row>
    <row r="392">
      <c r="A392" s="40"/>
      <c r="B392" s="40"/>
      <c r="D392" s="40"/>
      <c r="I392" s="41"/>
      <c r="J392" s="40"/>
      <c r="K392" s="40"/>
      <c r="O392" s="25"/>
      <c r="R392" s="25"/>
      <c r="U392" s="40"/>
    </row>
    <row r="393">
      <c r="A393" s="40"/>
      <c r="B393" s="40"/>
      <c r="D393" s="40"/>
      <c r="I393" s="41"/>
      <c r="J393" s="40"/>
      <c r="K393" s="40"/>
      <c r="O393" s="25"/>
      <c r="R393" s="25"/>
      <c r="U393" s="40"/>
    </row>
    <row r="394">
      <c r="A394" s="40"/>
      <c r="B394" s="40"/>
      <c r="D394" s="40"/>
      <c r="I394" s="41"/>
      <c r="J394" s="40"/>
      <c r="K394" s="40"/>
      <c r="O394" s="25"/>
      <c r="R394" s="25"/>
      <c r="U394" s="40"/>
    </row>
    <row r="395">
      <c r="A395" s="40"/>
      <c r="B395" s="40"/>
      <c r="D395" s="40"/>
      <c r="I395" s="41"/>
      <c r="J395" s="40"/>
      <c r="K395" s="40"/>
      <c r="O395" s="25"/>
      <c r="R395" s="25"/>
      <c r="U395" s="40"/>
    </row>
    <row r="396">
      <c r="A396" s="40"/>
      <c r="B396" s="40"/>
      <c r="D396" s="40"/>
      <c r="I396" s="41"/>
      <c r="J396" s="40"/>
      <c r="K396" s="40"/>
      <c r="O396" s="25"/>
      <c r="R396" s="25"/>
      <c r="U396" s="40"/>
    </row>
    <row r="397">
      <c r="A397" s="40"/>
      <c r="B397" s="40"/>
      <c r="D397" s="40"/>
      <c r="I397" s="41"/>
      <c r="J397" s="40"/>
      <c r="K397" s="40"/>
      <c r="O397" s="25"/>
      <c r="R397" s="25"/>
      <c r="U397" s="40"/>
    </row>
    <row r="398">
      <c r="A398" s="40"/>
      <c r="B398" s="40"/>
      <c r="D398" s="40"/>
      <c r="I398" s="41"/>
      <c r="J398" s="40"/>
      <c r="K398" s="40"/>
      <c r="O398" s="25"/>
      <c r="R398" s="25"/>
      <c r="U398" s="40"/>
    </row>
    <row r="399">
      <c r="A399" s="40"/>
      <c r="B399" s="40"/>
      <c r="D399" s="40"/>
      <c r="I399" s="41"/>
      <c r="J399" s="40"/>
      <c r="K399" s="40"/>
      <c r="O399" s="25"/>
      <c r="R399" s="25"/>
      <c r="U399" s="40"/>
    </row>
    <row r="400">
      <c r="A400" s="40"/>
      <c r="B400" s="40"/>
      <c r="D400" s="40"/>
      <c r="I400" s="41"/>
      <c r="J400" s="40"/>
      <c r="K400" s="40"/>
      <c r="O400" s="25"/>
      <c r="R400" s="25"/>
      <c r="U400" s="40"/>
    </row>
    <row r="401">
      <c r="A401" s="40"/>
      <c r="B401" s="40"/>
      <c r="D401" s="40"/>
      <c r="I401" s="41"/>
      <c r="J401" s="40"/>
      <c r="K401" s="40"/>
      <c r="O401" s="25"/>
      <c r="R401" s="25"/>
      <c r="U401" s="40"/>
    </row>
    <row r="402">
      <c r="A402" s="40"/>
      <c r="B402" s="40"/>
      <c r="D402" s="40"/>
      <c r="I402" s="41"/>
      <c r="J402" s="40"/>
      <c r="K402" s="40"/>
      <c r="O402" s="25"/>
      <c r="R402" s="25"/>
      <c r="U402" s="40"/>
    </row>
    <row r="403">
      <c r="A403" s="40"/>
      <c r="B403" s="40"/>
      <c r="D403" s="40"/>
      <c r="I403" s="41"/>
      <c r="J403" s="40"/>
      <c r="K403" s="40"/>
      <c r="O403" s="25"/>
      <c r="R403" s="25"/>
      <c r="U403" s="40"/>
    </row>
    <row r="404">
      <c r="A404" s="40"/>
      <c r="B404" s="40"/>
      <c r="D404" s="40"/>
      <c r="I404" s="41"/>
      <c r="J404" s="40"/>
      <c r="K404" s="40"/>
      <c r="O404" s="25"/>
      <c r="R404" s="25"/>
      <c r="U404" s="40"/>
    </row>
    <row r="405">
      <c r="A405" s="40"/>
      <c r="B405" s="40"/>
      <c r="D405" s="40"/>
      <c r="I405" s="41"/>
      <c r="J405" s="40"/>
      <c r="K405" s="40"/>
      <c r="O405" s="25"/>
      <c r="R405" s="25"/>
      <c r="U405" s="40"/>
    </row>
    <row r="406">
      <c r="A406" s="40"/>
      <c r="B406" s="40"/>
      <c r="D406" s="40"/>
      <c r="I406" s="41"/>
      <c r="J406" s="40"/>
      <c r="K406" s="40"/>
      <c r="O406" s="25"/>
      <c r="R406" s="25"/>
      <c r="U406" s="40"/>
    </row>
    <row r="407">
      <c r="A407" s="40"/>
      <c r="B407" s="40"/>
      <c r="D407" s="40"/>
      <c r="I407" s="41"/>
      <c r="J407" s="40"/>
      <c r="K407" s="40"/>
      <c r="O407" s="25"/>
      <c r="R407" s="25"/>
      <c r="U407" s="40"/>
    </row>
    <row r="408">
      <c r="A408" s="40"/>
      <c r="B408" s="40"/>
      <c r="D408" s="40"/>
      <c r="I408" s="41"/>
      <c r="J408" s="40"/>
      <c r="K408" s="40"/>
      <c r="O408" s="25"/>
      <c r="R408" s="25"/>
      <c r="U408" s="40"/>
    </row>
    <row r="409">
      <c r="A409" s="40"/>
      <c r="B409" s="40"/>
      <c r="D409" s="40"/>
      <c r="I409" s="41"/>
      <c r="J409" s="40"/>
      <c r="K409" s="40"/>
      <c r="O409" s="25"/>
      <c r="R409" s="25"/>
      <c r="U409" s="40"/>
    </row>
    <row r="410">
      <c r="A410" s="40"/>
      <c r="B410" s="40"/>
      <c r="D410" s="40"/>
      <c r="I410" s="41"/>
      <c r="J410" s="40"/>
      <c r="K410" s="40"/>
      <c r="O410" s="25"/>
      <c r="R410" s="25"/>
      <c r="U410" s="40"/>
    </row>
    <row r="411">
      <c r="A411" s="40"/>
      <c r="B411" s="40"/>
      <c r="D411" s="40"/>
      <c r="I411" s="41"/>
      <c r="J411" s="40"/>
      <c r="K411" s="40"/>
      <c r="O411" s="25"/>
      <c r="R411" s="25"/>
      <c r="U411" s="40"/>
    </row>
    <row r="412">
      <c r="A412" s="40"/>
      <c r="B412" s="40"/>
      <c r="D412" s="40"/>
      <c r="I412" s="41"/>
      <c r="J412" s="40"/>
      <c r="K412" s="40"/>
      <c r="O412" s="25"/>
      <c r="R412" s="25"/>
      <c r="U412" s="40"/>
    </row>
    <row r="413">
      <c r="A413" s="40"/>
      <c r="B413" s="40"/>
      <c r="D413" s="40"/>
      <c r="I413" s="41"/>
      <c r="J413" s="40"/>
      <c r="K413" s="40"/>
      <c r="O413" s="25"/>
      <c r="R413" s="25"/>
      <c r="U413" s="40"/>
    </row>
    <row r="414">
      <c r="A414" s="40"/>
      <c r="B414" s="40"/>
      <c r="D414" s="40"/>
      <c r="I414" s="41"/>
      <c r="J414" s="40"/>
      <c r="K414" s="40"/>
      <c r="O414" s="25"/>
      <c r="R414" s="25"/>
      <c r="U414" s="40"/>
    </row>
    <row r="415">
      <c r="A415" s="40"/>
      <c r="B415" s="40"/>
      <c r="D415" s="40"/>
      <c r="I415" s="41"/>
      <c r="J415" s="40"/>
      <c r="K415" s="40"/>
      <c r="O415" s="25"/>
      <c r="R415" s="25"/>
      <c r="U415" s="40"/>
    </row>
    <row r="416">
      <c r="A416" s="40"/>
      <c r="B416" s="40"/>
      <c r="D416" s="40"/>
      <c r="I416" s="41"/>
      <c r="J416" s="40"/>
      <c r="K416" s="40"/>
      <c r="O416" s="25"/>
      <c r="R416" s="25"/>
      <c r="U416" s="40"/>
    </row>
    <row r="417">
      <c r="A417" s="40"/>
      <c r="B417" s="40"/>
      <c r="D417" s="40"/>
      <c r="I417" s="41"/>
      <c r="J417" s="40"/>
      <c r="K417" s="40"/>
      <c r="O417" s="25"/>
      <c r="R417" s="25"/>
      <c r="U417" s="40"/>
    </row>
    <row r="418">
      <c r="A418" s="40"/>
      <c r="B418" s="40"/>
      <c r="D418" s="40"/>
      <c r="I418" s="41"/>
      <c r="J418" s="40"/>
      <c r="K418" s="40"/>
      <c r="O418" s="25"/>
      <c r="R418" s="25"/>
      <c r="U418" s="40"/>
    </row>
    <row r="419">
      <c r="A419" s="40"/>
      <c r="B419" s="40"/>
      <c r="D419" s="40"/>
      <c r="I419" s="41"/>
      <c r="J419" s="40"/>
      <c r="K419" s="40"/>
      <c r="O419" s="25"/>
      <c r="R419" s="25"/>
      <c r="U419" s="40"/>
    </row>
    <row r="420">
      <c r="A420" s="40"/>
      <c r="B420" s="40"/>
      <c r="D420" s="40"/>
      <c r="I420" s="41"/>
      <c r="J420" s="40"/>
      <c r="K420" s="40"/>
      <c r="O420" s="25"/>
      <c r="R420" s="25"/>
      <c r="U420" s="40"/>
    </row>
    <row r="421">
      <c r="A421" s="40"/>
      <c r="B421" s="40"/>
      <c r="D421" s="40"/>
      <c r="I421" s="41"/>
      <c r="J421" s="40"/>
      <c r="K421" s="40"/>
      <c r="O421" s="25"/>
      <c r="R421" s="25"/>
      <c r="U421" s="40"/>
    </row>
    <row r="422">
      <c r="A422" s="40"/>
      <c r="B422" s="40"/>
      <c r="D422" s="40"/>
      <c r="I422" s="41"/>
      <c r="J422" s="40"/>
      <c r="K422" s="40"/>
      <c r="O422" s="25"/>
      <c r="R422" s="25"/>
      <c r="U422" s="40"/>
    </row>
    <row r="423">
      <c r="A423" s="40"/>
      <c r="B423" s="40"/>
      <c r="D423" s="40"/>
      <c r="I423" s="41"/>
      <c r="J423" s="40"/>
      <c r="K423" s="40"/>
      <c r="O423" s="25"/>
      <c r="R423" s="25"/>
      <c r="U423" s="40"/>
    </row>
    <row r="424">
      <c r="A424" s="40"/>
      <c r="B424" s="40"/>
      <c r="D424" s="40"/>
      <c r="I424" s="41"/>
      <c r="J424" s="40"/>
      <c r="K424" s="40"/>
      <c r="O424" s="25"/>
      <c r="R424" s="25"/>
      <c r="U424" s="40"/>
    </row>
    <row r="425">
      <c r="A425" s="40"/>
      <c r="B425" s="40"/>
      <c r="D425" s="40"/>
      <c r="I425" s="41"/>
      <c r="J425" s="40"/>
      <c r="K425" s="40"/>
      <c r="O425" s="25"/>
      <c r="R425" s="25"/>
      <c r="U425" s="40"/>
    </row>
    <row r="426">
      <c r="A426" s="40"/>
      <c r="B426" s="40"/>
      <c r="D426" s="40"/>
      <c r="I426" s="41"/>
      <c r="J426" s="40"/>
      <c r="K426" s="40"/>
      <c r="O426" s="25"/>
      <c r="R426" s="25"/>
      <c r="U426" s="40"/>
    </row>
    <row r="427">
      <c r="A427" s="40"/>
      <c r="B427" s="40"/>
      <c r="D427" s="40"/>
      <c r="I427" s="41"/>
      <c r="J427" s="40"/>
      <c r="K427" s="40"/>
      <c r="O427" s="25"/>
      <c r="R427" s="25"/>
      <c r="U427" s="40"/>
    </row>
    <row r="428">
      <c r="A428" s="40"/>
      <c r="B428" s="40"/>
      <c r="D428" s="40"/>
      <c r="I428" s="41"/>
      <c r="J428" s="40"/>
      <c r="K428" s="40"/>
      <c r="O428" s="25"/>
      <c r="R428" s="25"/>
      <c r="U428" s="40"/>
    </row>
    <row r="429">
      <c r="A429" s="40"/>
      <c r="B429" s="40"/>
      <c r="D429" s="40"/>
      <c r="I429" s="41"/>
      <c r="J429" s="40"/>
      <c r="K429" s="40"/>
      <c r="O429" s="25"/>
      <c r="R429" s="25"/>
      <c r="U429" s="40"/>
    </row>
    <row r="430">
      <c r="A430" s="40"/>
      <c r="B430" s="40"/>
      <c r="D430" s="40"/>
      <c r="I430" s="41"/>
      <c r="J430" s="40"/>
      <c r="K430" s="40"/>
      <c r="O430" s="25"/>
      <c r="R430" s="25"/>
      <c r="U430" s="40"/>
    </row>
    <row r="431">
      <c r="A431" s="40"/>
      <c r="B431" s="40"/>
      <c r="D431" s="40"/>
      <c r="I431" s="41"/>
      <c r="J431" s="40"/>
      <c r="K431" s="40"/>
      <c r="O431" s="25"/>
      <c r="R431" s="25"/>
      <c r="U431" s="40"/>
    </row>
    <row r="432">
      <c r="A432" s="40"/>
      <c r="B432" s="40"/>
      <c r="D432" s="40"/>
      <c r="I432" s="41"/>
      <c r="J432" s="40"/>
      <c r="K432" s="40"/>
      <c r="O432" s="25"/>
      <c r="R432" s="25"/>
      <c r="U432" s="40"/>
    </row>
    <row r="433">
      <c r="A433" s="40"/>
      <c r="B433" s="40"/>
      <c r="D433" s="40"/>
      <c r="I433" s="41"/>
      <c r="J433" s="40"/>
      <c r="K433" s="40"/>
      <c r="O433" s="25"/>
      <c r="R433" s="25"/>
      <c r="U433" s="40"/>
    </row>
    <row r="434">
      <c r="A434" s="40"/>
      <c r="B434" s="40"/>
      <c r="D434" s="40"/>
      <c r="I434" s="41"/>
      <c r="J434" s="40"/>
      <c r="K434" s="40"/>
      <c r="O434" s="25"/>
      <c r="R434" s="25"/>
      <c r="U434" s="40"/>
    </row>
    <row r="435">
      <c r="A435" s="40"/>
      <c r="B435" s="40"/>
      <c r="D435" s="40"/>
      <c r="I435" s="41"/>
      <c r="J435" s="40"/>
      <c r="K435" s="40"/>
      <c r="O435" s="25"/>
      <c r="R435" s="25"/>
      <c r="U435" s="40"/>
    </row>
    <row r="436">
      <c r="A436" s="40"/>
      <c r="B436" s="40"/>
      <c r="D436" s="40"/>
      <c r="I436" s="41"/>
      <c r="J436" s="40"/>
      <c r="K436" s="40"/>
      <c r="O436" s="25"/>
      <c r="R436" s="25"/>
      <c r="U436" s="40"/>
    </row>
    <row r="437">
      <c r="A437" s="40"/>
      <c r="B437" s="40"/>
      <c r="D437" s="40"/>
      <c r="I437" s="41"/>
      <c r="J437" s="40"/>
      <c r="K437" s="40"/>
      <c r="O437" s="25"/>
      <c r="R437" s="25"/>
      <c r="U437" s="40"/>
    </row>
    <row r="438">
      <c r="A438" s="40"/>
      <c r="B438" s="40"/>
      <c r="D438" s="40"/>
      <c r="I438" s="41"/>
      <c r="J438" s="40"/>
      <c r="K438" s="40"/>
      <c r="O438" s="25"/>
      <c r="R438" s="25"/>
      <c r="U438" s="40"/>
    </row>
    <row r="439">
      <c r="A439" s="40"/>
      <c r="B439" s="40"/>
      <c r="D439" s="40"/>
      <c r="I439" s="41"/>
      <c r="J439" s="40"/>
      <c r="K439" s="40"/>
      <c r="O439" s="25"/>
      <c r="R439" s="25"/>
      <c r="U439" s="40"/>
    </row>
    <row r="440">
      <c r="A440" s="40"/>
      <c r="B440" s="40"/>
      <c r="D440" s="40"/>
      <c r="I440" s="41"/>
      <c r="J440" s="40"/>
      <c r="K440" s="40"/>
      <c r="O440" s="25"/>
      <c r="R440" s="25"/>
      <c r="U440" s="40"/>
    </row>
    <row r="441">
      <c r="A441" s="40"/>
      <c r="B441" s="40"/>
      <c r="D441" s="40"/>
      <c r="I441" s="41"/>
      <c r="J441" s="40"/>
      <c r="K441" s="40"/>
      <c r="O441" s="25"/>
      <c r="R441" s="25"/>
      <c r="U441" s="40"/>
    </row>
    <row r="442">
      <c r="A442" s="40"/>
      <c r="B442" s="40"/>
      <c r="D442" s="40"/>
      <c r="I442" s="41"/>
      <c r="J442" s="40"/>
      <c r="K442" s="40"/>
      <c r="O442" s="25"/>
      <c r="R442" s="25"/>
      <c r="U442" s="40"/>
    </row>
    <row r="443">
      <c r="A443" s="40"/>
      <c r="B443" s="40"/>
      <c r="D443" s="40"/>
      <c r="I443" s="41"/>
      <c r="J443" s="40"/>
      <c r="K443" s="40"/>
      <c r="O443" s="25"/>
      <c r="R443" s="25"/>
      <c r="U443" s="40"/>
    </row>
    <row r="444">
      <c r="A444" s="40"/>
      <c r="B444" s="40"/>
      <c r="D444" s="40"/>
      <c r="I444" s="41"/>
      <c r="J444" s="40"/>
      <c r="K444" s="40"/>
      <c r="O444" s="25"/>
      <c r="R444" s="25"/>
      <c r="U444" s="40"/>
    </row>
    <row r="445">
      <c r="A445" s="40"/>
      <c r="B445" s="40"/>
      <c r="D445" s="40"/>
      <c r="I445" s="41"/>
      <c r="J445" s="40"/>
      <c r="K445" s="40"/>
      <c r="O445" s="25"/>
      <c r="R445" s="25"/>
      <c r="U445" s="40"/>
    </row>
    <row r="446">
      <c r="A446" s="40"/>
      <c r="B446" s="40"/>
      <c r="D446" s="40"/>
      <c r="I446" s="41"/>
      <c r="J446" s="40"/>
      <c r="K446" s="40"/>
      <c r="O446" s="25"/>
      <c r="R446" s="25"/>
      <c r="U446" s="40"/>
    </row>
    <row r="447">
      <c r="A447" s="40"/>
      <c r="B447" s="40"/>
      <c r="D447" s="40"/>
      <c r="I447" s="41"/>
      <c r="J447" s="40"/>
      <c r="K447" s="40"/>
      <c r="O447" s="25"/>
      <c r="R447" s="25"/>
      <c r="U447" s="40"/>
    </row>
    <row r="448">
      <c r="A448" s="40"/>
      <c r="B448" s="40"/>
      <c r="D448" s="40"/>
      <c r="I448" s="41"/>
      <c r="J448" s="40"/>
      <c r="K448" s="40"/>
      <c r="O448" s="25"/>
      <c r="R448" s="25"/>
      <c r="U448" s="40"/>
    </row>
    <row r="449">
      <c r="A449" s="40"/>
      <c r="B449" s="40"/>
      <c r="D449" s="40"/>
      <c r="I449" s="41"/>
      <c r="J449" s="40"/>
      <c r="K449" s="40"/>
      <c r="O449" s="25"/>
      <c r="R449" s="25"/>
      <c r="U449" s="40"/>
    </row>
    <row r="450">
      <c r="A450" s="40"/>
      <c r="B450" s="40"/>
      <c r="D450" s="40"/>
      <c r="I450" s="41"/>
      <c r="J450" s="40"/>
      <c r="K450" s="40"/>
      <c r="O450" s="25"/>
      <c r="R450" s="25"/>
      <c r="U450" s="40"/>
    </row>
    <row r="451">
      <c r="A451" s="40"/>
      <c r="B451" s="40"/>
      <c r="D451" s="40"/>
      <c r="I451" s="41"/>
      <c r="J451" s="40"/>
      <c r="K451" s="40"/>
      <c r="O451" s="25"/>
      <c r="R451" s="25"/>
      <c r="U451" s="40"/>
    </row>
    <row r="452">
      <c r="A452" s="40"/>
      <c r="B452" s="40"/>
      <c r="D452" s="40"/>
      <c r="I452" s="41"/>
      <c r="J452" s="40"/>
      <c r="K452" s="40"/>
      <c r="O452" s="25"/>
      <c r="R452" s="25"/>
      <c r="U452" s="40"/>
    </row>
    <row r="453">
      <c r="A453" s="40"/>
      <c r="B453" s="40"/>
      <c r="D453" s="40"/>
      <c r="I453" s="41"/>
      <c r="J453" s="40"/>
      <c r="K453" s="40"/>
      <c r="O453" s="25"/>
      <c r="R453" s="25"/>
      <c r="U453" s="40"/>
    </row>
    <row r="454">
      <c r="A454" s="40"/>
      <c r="B454" s="40"/>
      <c r="D454" s="40"/>
      <c r="I454" s="41"/>
      <c r="J454" s="40"/>
      <c r="K454" s="40"/>
      <c r="O454" s="25"/>
      <c r="R454" s="25"/>
      <c r="U454" s="40"/>
    </row>
    <row r="455">
      <c r="A455" s="40"/>
      <c r="B455" s="40"/>
      <c r="D455" s="40"/>
      <c r="I455" s="41"/>
      <c r="J455" s="40"/>
      <c r="K455" s="40"/>
      <c r="O455" s="25"/>
      <c r="R455" s="25"/>
      <c r="U455" s="40"/>
    </row>
    <row r="456">
      <c r="A456" s="40"/>
      <c r="B456" s="40"/>
      <c r="D456" s="40"/>
      <c r="I456" s="41"/>
      <c r="J456" s="40"/>
      <c r="K456" s="40"/>
      <c r="O456" s="25"/>
      <c r="R456" s="25"/>
      <c r="U456" s="40"/>
    </row>
    <row r="457">
      <c r="A457" s="40"/>
      <c r="B457" s="40"/>
      <c r="D457" s="40"/>
      <c r="I457" s="41"/>
      <c r="J457" s="40"/>
      <c r="K457" s="40"/>
      <c r="O457" s="25"/>
      <c r="R457" s="25"/>
      <c r="U457" s="40"/>
    </row>
    <row r="458">
      <c r="A458" s="40"/>
      <c r="B458" s="40"/>
      <c r="D458" s="40"/>
      <c r="I458" s="41"/>
      <c r="J458" s="40"/>
      <c r="K458" s="40"/>
      <c r="O458" s="25"/>
      <c r="R458" s="25"/>
      <c r="U458" s="40"/>
    </row>
    <row r="459">
      <c r="A459" s="40"/>
      <c r="B459" s="40"/>
      <c r="D459" s="40"/>
      <c r="I459" s="41"/>
      <c r="J459" s="40"/>
      <c r="K459" s="40"/>
      <c r="O459" s="25"/>
      <c r="R459" s="25"/>
      <c r="U459" s="40"/>
    </row>
    <row r="460">
      <c r="A460" s="40"/>
      <c r="B460" s="40"/>
      <c r="D460" s="40"/>
      <c r="I460" s="41"/>
      <c r="J460" s="40"/>
      <c r="K460" s="40"/>
      <c r="O460" s="25"/>
      <c r="R460" s="25"/>
      <c r="U460" s="40"/>
    </row>
    <row r="461">
      <c r="A461" s="40"/>
      <c r="B461" s="40"/>
      <c r="D461" s="40"/>
      <c r="I461" s="41"/>
      <c r="J461" s="40"/>
      <c r="K461" s="40"/>
      <c r="O461" s="25"/>
      <c r="R461" s="25"/>
      <c r="U461" s="40"/>
    </row>
    <row r="462">
      <c r="A462" s="40"/>
      <c r="B462" s="40"/>
      <c r="D462" s="40"/>
      <c r="I462" s="41"/>
      <c r="J462" s="40"/>
      <c r="K462" s="40"/>
      <c r="O462" s="25"/>
      <c r="R462" s="25"/>
      <c r="U462" s="40"/>
    </row>
    <row r="463">
      <c r="A463" s="40"/>
      <c r="B463" s="40"/>
      <c r="D463" s="40"/>
      <c r="I463" s="41"/>
      <c r="J463" s="40"/>
      <c r="K463" s="40"/>
      <c r="O463" s="25"/>
      <c r="R463" s="25"/>
      <c r="U463" s="40"/>
    </row>
    <row r="464">
      <c r="A464" s="40"/>
      <c r="B464" s="40"/>
      <c r="D464" s="40"/>
      <c r="I464" s="41"/>
      <c r="J464" s="40"/>
      <c r="K464" s="40"/>
      <c r="O464" s="25"/>
      <c r="R464" s="25"/>
      <c r="U464" s="40"/>
    </row>
    <row r="465">
      <c r="A465" s="40"/>
      <c r="B465" s="40"/>
      <c r="D465" s="40"/>
      <c r="I465" s="41"/>
      <c r="J465" s="40"/>
      <c r="K465" s="40"/>
      <c r="O465" s="25"/>
      <c r="R465" s="25"/>
      <c r="U465" s="40"/>
    </row>
    <row r="466">
      <c r="A466" s="40"/>
      <c r="B466" s="40"/>
      <c r="D466" s="40"/>
      <c r="I466" s="41"/>
      <c r="J466" s="40"/>
      <c r="K466" s="40"/>
      <c r="O466" s="25"/>
      <c r="R466" s="25"/>
      <c r="U466" s="40"/>
    </row>
    <row r="467">
      <c r="A467" s="40"/>
      <c r="B467" s="40"/>
      <c r="D467" s="40"/>
      <c r="I467" s="41"/>
      <c r="J467" s="40"/>
      <c r="K467" s="40"/>
      <c r="O467" s="25"/>
      <c r="R467" s="25"/>
      <c r="U467" s="40"/>
    </row>
    <row r="468">
      <c r="A468" s="40"/>
      <c r="B468" s="40"/>
      <c r="D468" s="40"/>
      <c r="I468" s="41"/>
      <c r="J468" s="40"/>
      <c r="K468" s="40"/>
      <c r="O468" s="25"/>
      <c r="R468" s="25"/>
      <c r="U468" s="40"/>
    </row>
    <row r="469">
      <c r="A469" s="40"/>
      <c r="B469" s="40"/>
      <c r="D469" s="40"/>
      <c r="I469" s="41"/>
      <c r="J469" s="40"/>
      <c r="K469" s="40"/>
      <c r="O469" s="25"/>
      <c r="R469" s="25"/>
      <c r="U469" s="40"/>
    </row>
    <row r="470">
      <c r="A470" s="40"/>
      <c r="B470" s="40"/>
      <c r="D470" s="40"/>
      <c r="I470" s="41"/>
      <c r="J470" s="40"/>
      <c r="K470" s="40"/>
      <c r="O470" s="25"/>
      <c r="R470" s="25"/>
      <c r="U470" s="40"/>
    </row>
    <row r="471">
      <c r="A471" s="40"/>
      <c r="B471" s="40"/>
      <c r="D471" s="40"/>
      <c r="I471" s="41"/>
      <c r="J471" s="40"/>
      <c r="K471" s="40"/>
      <c r="O471" s="25"/>
      <c r="R471" s="25"/>
      <c r="U471" s="40"/>
    </row>
    <row r="472">
      <c r="A472" s="40"/>
      <c r="B472" s="40"/>
      <c r="D472" s="40"/>
      <c r="I472" s="41"/>
      <c r="J472" s="40"/>
      <c r="K472" s="40"/>
      <c r="O472" s="25"/>
      <c r="R472" s="25"/>
      <c r="U472" s="40"/>
    </row>
    <row r="473">
      <c r="A473" s="40"/>
      <c r="B473" s="40"/>
      <c r="D473" s="40"/>
      <c r="I473" s="41"/>
      <c r="J473" s="40"/>
      <c r="K473" s="40"/>
      <c r="O473" s="25"/>
      <c r="R473" s="25"/>
      <c r="U473" s="40"/>
    </row>
    <row r="474">
      <c r="A474" s="40"/>
      <c r="B474" s="40"/>
      <c r="D474" s="40"/>
      <c r="I474" s="41"/>
      <c r="J474" s="40"/>
      <c r="K474" s="40"/>
      <c r="O474" s="25"/>
      <c r="R474" s="25"/>
      <c r="U474" s="40"/>
    </row>
    <row r="475">
      <c r="A475" s="40"/>
      <c r="B475" s="40"/>
      <c r="D475" s="40"/>
      <c r="I475" s="41"/>
      <c r="J475" s="40"/>
      <c r="K475" s="40"/>
      <c r="O475" s="25"/>
      <c r="R475" s="25"/>
      <c r="U475" s="40"/>
    </row>
    <row r="476">
      <c r="A476" s="40"/>
      <c r="B476" s="40"/>
      <c r="D476" s="40"/>
      <c r="I476" s="41"/>
      <c r="J476" s="40"/>
      <c r="K476" s="40"/>
      <c r="O476" s="25"/>
      <c r="R476" s="25"/>
      <c r="U476" s="40"/>
    </row>
    <row r="477">
      <c r="A477" s="40"/>
      <c r="B477" s="40"/>
      <c r="D477" s="40"/>
      <c r="I477" s="41"/>
      <c r="J477" s="40"/>
      <c r="K477" s="40"/>
      <c r="O477" s="25"/>
      <c r="R477" s="25"/>
      <c r="U477" s="40"/>
    </row>
    <row r="478">
      <c r="A478" s="40"/>
      <c r="B478" s="40"/>
      <c r="D478" s="40"/>
      <c r="I478" s="41"/>
      <c r="J478" s="40"/>
      <c r="K478" s="40"/>
      <c r="O478" s="25"/>
      <c r="R478" s="25"/>
      <c r="U478" s="40"/>
    </row>
    <row r="479">
      <c r="A479" s="40"/>
      <c r="B479" s="40"/>
      <c r="D479" s="40"/>
      <c r="I479" s="41"/>
      <c r="J479" s="40"/>
      <c r="K479" s="40"/>
      <c r="O479" s="25"/>
      <c r="R479" s="25"/>
      <c r="U479" s="40"/>
    </row>
    <row r="480">
      <c r="A480" s="40"/>
      <c r="B480" s="40"/>
      <c r="D480" s="40"/>
      <c r="I480" s="41"/>
      <c r="J480" s="40"/>
      <c r="K480" s="40"/>
      <c r="O480" s="25"/>
      <c r="R480" s="25"/>
      <c r="U480" s="40"/>
    </row>
    <row r="481">
      <c r="A481" s="40"/>
      <c r="B481" s="40"/>
      <c r="D481" s="40"/>
      <c r="I481" s="41"/>
      <c r="J481" s="40"/>
      <c r="K481" s="40"/>
      <c r="O481" s="25"/>
      <c r="R481" s="25"/>
      <c r="U481" s="40"/>
    </row>
    <row r="482">
      <c r="A482" s="40"/>
      <c r="B482" s="40"/>
      <c r="D482" s="40"/>
      <c r="I482" s="41"/>
      <c r="J482" s="40"/>
      <c r="K482" s="40"/>
      <c r="O482" s="25"/>
      <c r="R482" s="25"/>
      <c r="U482" s="40"/>
    </row>
    <row r="483">
      <c r="A483" s="40"/>
      <c r="B483" s="40"/>
      <c r="D483" s="40"/>
      <c r="I483" s="41"/>
      <c r="J483" s="40"/>
      <c r="K483" s="40"/>
      <c r="O483" s="25"/>
      <c r="R483" s="25"/>
      <c r="U483" s="40"/>
    </row>
    <row r="484">
      <c r="A484" s="40"/>
      <c r="B484" s="40"/>
      <c r="D484" s="40"/>
      <c r="I484" s="41"/>
      <c r="J484" s="40"/>
      <c r="K484" s="40"/>
      <c r="O484" s="25"/>
      <c r="R484" s="25"/>
      <c r="U484" s="40"/>
    </row>
    <row r="485">
      <c r="A485" s="40"/>
      <c r="B485" s="40"/>
      <c r="D485" s="40"/>
      <c r="I485" s="41"/>
      <c r="J485" s="40"/>
      <c r="K485" s="40"/>
      <c r="O485" s="25"/>
      <c r="R485" s="25"/>
      <c r="U485" s="40"/>
    </row>
    <row r="486">
      <c r="A486" s="40"/>
      <c r="B486" s="40"/>
      <c r="D486" s="40"/>
      <c r="I486" s="41"/>
      <c r="J486" s="40"/>
      <c r="K486" s="40"/>
      <c r="O486" s="25"/>
      <c r="R486" s="25"/>
      <c r="U486" s="40"/>
    </row>
    <row r="487">
      <c r="A487" s="40"/>
      <c r="B487" s="40"/>
      <c r="D487" s="40"/>
      <c r="I487" s="41"/>
      <c r="J487" s="40"/>
      <c r="K487" s="40"/>
      <c r="O487" s="25"/>
      <c r="R487" s="25"/>
      <c r="U487" s="40"/>
    </row>
    <row r="488">
      <c r="A488" s="40"/>
      <c r="B488" s="40"/>
      <c r="D488" s="40"/>
      <c r="I488" s="41"/>
      <c r="J488" s="40"/>
      <c r="K488" s="40"/>
      <c r="O488" s="25"/>
      <c r="R488" s="25"/>
      <c r="U488" s="40"/>
    </row>
    <row r="489">
      <c r="A489" s="40"/>
      <c r="B489" s="40"/>
      <c r="D489" s="40"/>
      <c r="I489" s="41"/>
      <c r="J489" s="40"/>
      <c r="K489" s="40"/>
      <c r="O489" s="25"/>
      <c r="R489" s="25"/>
      <c r="U489" s="40"/>
    </row>
    <row r="490">
      <c r="A490" s="40"/>
      <c r="B490" s="40"/>
      <c r="D490" s="40"/>
      <c r="I490" s="41"/>
      <c r="J490" s="40"/>
      <c r="K490" s="40"/>
      <c r="O490" s="25"/>
      <c r="R490" s="25"/>
      <c r="U490" s="40"/>
    </row>
    <row r="491">
      <c r="A491" s="40"/>
      <c r="B491" s="40"/>
      <c r="D491" s="40"/>
      <c r="I491" s="41"/>
      <c r="J491" s="40"/>
      <c r="K491" s="40"/>
      <c r="O491" s="25"/>
      <c r="R491" s="25"/>
      <c r="U491" s="40"/>
    </row>
    <row r="492">
      <c r="A492" s="40"/>
      <c r="B492" s="40"/>
      <c r="D492" s="40"/>
      <c r="I492" s="41"/>
      <c r="J492" s="40"/>
      <c r="K492" s="40"/>
      <c r="O492" s="25"/>
      <c r="R492" s="25"/>
      <c r="U492" s="40"/>
    </row>
    <row r="493">
      <c r="A493" s="40"/>
      <c r="B493" s="40"/>
      <c r="D493" s="40"/>
      <c r="I493" s="41"/>
      <c r="J493" s="40"/>
      <c r="K493" s="40"/>
      <c r="O493" s="25"/>
      <c r="R493" s="25"/>
      <c r="U493" s="40"/>
    </row>
    <row r="494">
      <c r="A494" s="40"/>
      <c r="B494" s="40"/>
      <c r="D494" s="40"/>
      <c r="I494" s="41"/>
      <c r="J494" s="40"/>
      <c r="K494" s="40"/>
      <c r="O494" s="25"/>
      <c r="R494" s="25"/>
      <c r="U494" s="40"/>
    </row>
    <row r="495">
      <c r="A495" s="40"/>
      <c r="B495" s="40"/>
      <c r="D495" s="40"/>
      <c r="I495" s="41"/>
      <c r="J495" s="40"/>
      <c r="K495" s="40"/>
      <c r="O495" s="25"/>
      <c r="R495" s="25"/>
      <c r="U495" s="40"/>
    </row>
    <row r="496">
      <c r="A496" s="40"/>
      <c r="B496" s="40"/>
      <c r="D496" s="40"/>
      <c r="I496" s="41"/>
      <c r="J496" s="40"/>
      <c r="K496" s="40"/>
      <c r="O496" s="25"/>
      <c r="R496" s="25"/>
      <c r="U496" s="40"/>
    </row>
    <row r="497">
      <c r="A497" s="40"/>
      <c r="B497" s="40"/>
      <c r="D497" s="40"/>
      <c r="I497" s="41"/>
      <c r="J497" s="40"/>
      <c r="K497" s="40"/>
      <c r="O497" s="25"/>
      <c r="R497" s="25"/>
      <c r="U497" s="40"/>
    </row>
    <row r="498">
      <c r="A498" s="40"/>
      <c r="B498" s="40"/>
      <c r="D498" s="40"/>
      <c r="I498" s="41"/>
      <c r="J498" s="40"/>
      <c r="K498" s="40"/>
      <c r="O498" s="25"/>
      <c r="R498" s="25"/>
      <c r="U498" s="40"/>
    </row>
    <row r="499">
      <c r="A499" s="40"/>
      <c r="B499" s="40"/>
      <c r="D499" s="40"/>
      <c r="I499" s="41"/>
      <c r="J499" s="40"/>
      <c r="K499" s="40"/>
      <c r="O499" s="25"/>
      <c r="R499" s="25"/>
      <c r="U499" s="40"/>
    </row>
    <row r="500">
      <c r="A500" s="40"/>
      <c r="B500" s="40"/>
      <c r="D500" s="40"/>
      <c r="I500" s="41"/>
      <c r="J500" s="40"/>
      <c r="K500" s="40"/>
      <c r="O500" s="25"/>
      <c r="R500" s="25"/>
      <c r="U500" s="40"/>
    </row>
    <row r="501">
      <c r="A501" s="40"/>
      <c r="B501" s="40"/>
      <c r="D501" s="40"/>
      <c r="I501" s="41"/>
      <c r="J501" s="40"/>
      <c r="K501" s="40"/>
      <c r="O501" s="25"/>
      <c r="R501" s="25"/>
      <c r="U501" s="40"/>
    </row>
    <row r="502">
      <c r="A502" s="40"/>
      <c r="B502" s="40"/>
      <c r="D502" s="40"/>
      <c r="I502" s="41"/>
      <c r="J502" s="40"/>
      <c r="K502" s="40"/>
      <c r="O502" s="25"/>
      <c r="R502" s="25"/>
      <c r="U502" s="40"/>
    </row>
    <row r="503">
      <c r="A503" s="40"/>
      <c r="B503" s="40"/>
      <c r="D503" s="40"/>
      <c r="I503" s="41"/>
      <c r="J503" s="40"/>
      <c r="K503" s="40"/>
      <c r="O503" s="25"/>
      <c r="R503" s="25"/>
      <c r="U503" s="40"/>
    </row>
    <row r="504">
      <c r="A504" s="40"/>
      <c r="B504" s="40"/>
      <c r="D504" s="40"/>
      <c r="I504" s="41"/>
      <c r="J504" s="40"/>
      <c r="K504" s="40"/>
      <c r="O504" s="25"/>
      <c r="R504" s="25"/>
      <c r="U504" s="40"/>
    </row>
    <row r="505">
      <c r="A505" s="40"/>
      <c r="B505" s="40"/>
      <c r="D505" s="40"/>
      <c r="I505" s="41"/>
      <c r="J505" s="40"/>
      <c r="K505" s="40"/>
      <c r="O505" s="25"/>
      <c r="R505" s="25"/>
      <c r="U505" s="40"/>
    </row>
    <row r="506">
      <c r="A506" s="40"/>
      <c r="B506" s="40"/>
      <c r="D506" s="40"/>
      <c r="I506" s="41"/>
      <c r="J506" s="40"/>
      <c r="K506" s="40"/>
      <c r="O506" s="25"/>
      <c r="R506" s="25"/>
      <c r="U506" s="40"/>
    </row>
    <row r="507">
      <c r="A507" s="40"/>
      <c r="B507" s="40"/>
      <c r="D507" s="40"/>
      <c r="I507" s="41"/>
      <c r="J507" s="40"/>
      <c r="K507" s="40"/>
      <c r="O507" s="25"/>
      <c r="R507" s="25"/>
      <c r="U507" s="40"/>
    </row>
    <row r="508">
      <c r="A508" s="40"/>
      <c r="B508" s="40"/>
      <c r="D508" s="40"/>
      <c r="I508" s="41"/>
      <c r="J508" s="40"/>
      <c r="K508" s="40"/>
      <c r="O508" s="25"/>
      <c r="R508" s="25"/>
      <c r="U508" s="40"/>
    </row>
    <row r="509">
      <c r="A509" s="40"/>
      <c r="B509" s="40"/>
      <c r="D509" s="40"/>
      <c r="I509" s="41"/>
      <c r="J509" s="40"/>
      <c r="K509" s="40"/>
      <c r="O509" s="25"/>
      <c r="R509" s="25"/>
      <c r="U509" s="40"/>
    </row>
    <row r="510">
      <c r="A510" s="40"/>
      <c r="B510" s="40"/>
      <c r="D510" s="40"/>
      <c r="I510" s="41"/>
      <c r="J510" s="40"/>
      <c r="K510" s="40"/>
      <c r="O510" s="25"/>
      <c r="R510" s="25"/>
      <c r="U510" s="40"/>
    </row>
    <row r="511">
      <c r="A511" s="40"/>
      <c r="B511" s="40"/>
      <c r="D511" s="40"/>
      <c r="I511" s="41"/>
      <c r="J511" s="40"/>
      <c r="K511" s="40"/>
      <c r="O511" s="25"/>
      <c r="R511" s="25"/>
      <c r="U511" s="40"/>
    </row>
    <row r="512">
      <c r="A512" s="40"/>
      <c r="B512" s="40"/>
      <c r="D512" s="40"/>
      <c r="I512" s="41"/>
      <c r="J512" s="40"/>
      <c r="K512" s="40"/>
      <c r="O512" s="25"/>
      <c r="R512" s="25"/>
      <c r="U512" s="40"/>
    </row>
    <row r="513">
      <c r="A513" s="40"/>
      <c r="B513" s="40"/>
      <c r="D513" s="40"/>
      <c r="I513" s="41"/>
      <c r="J513" s="40"/>
      <c r="K513" s="40"/>
      <c r="O513" s="25"/>
      <c r="R513" s="25"/>
      <c r="U513" s="40"/>
    </row>
    <row r="514">
      <c r="A514" s="40"/>
      <c r="B514" s="40"/>
      <c r="D514" s="40"/>
      <c r="I514" s="41"/>
      <c r="J514" s="40"/>
      <c r="K514" s="40"/>
      <c r="O514" s="25"/>
      <c r="R514" s="25"/>
      <c r="U514" s="40"/>
    </row>
    <row r="515">
      <c r="A515" s="40"/>
      <c r="B515" s="40"/>
      <c r="D515" s="40"/>
      <c r="I515" s="41"/>
      <c r="J515" s="40"/>
      <c r="K515" s="40"/>
      <c r="O515" s="25"/>
      <c r="R515" s="25"/>
      <c r="U515" s="40"/>
    </row>
    <row r="516">
      <c r="A516" s="40"/>
      <c r="B516" s="40"/>
      <c r="D516" s="40"/>
      <c r="I516" s="41"/>
      <c r="J516" s="40"/>
      <c r="K516" s="40"/>
      <c r="O516" s="25"/>
      <c r="R516" s="25"/>
      <c r="U516" s="40"/>
    </row>
    <row r="517">
      <c r="A517" s="40"/>
      <c r="B517" s="40"/>
      <c r="D517" s="40"/>
      <c r="I517" s="41"/>
      <c r="J517" s="40"/>
      <c r="K517" s="40"/>
      <c r="O517" s="25"/>
      <c r="R517" s="25"/>
      <c r="U517" s="40"/>
    </row>
    <row r="518">
      <c r="A518" s="40"/>
      <c r="B518" s="40"/>
      <c r="D518" s="40"/>
      <c r="I518" s="41"/>
      <c r="J518" s="40"/>
      <c r="K518" s="40"/>
      <c r="O518" s="25"/>
      <c r="R518" s="25"/>
      <c r="U518" s="40"/>
    </row>
    <row r="519">
      <c r="A519" s="40"/>
      <c r="B519" s="40"/>
      <c r="D519" s="40"/>
      <c r="I519" s="41"/>
      <c r="J519" s="40"/>
      <c r="K519" s="40"/>
      <c r="O519" s="25"/>
      <c r="R519" s="25"/>
      <c r="U519" s="40"/>
    </row>
    <row r="520">
      <c r="A520" s="40"/>
      <c r="B520" s="40"/>
      <c r="D520" s="40"/>
      <c r="I520" s="41"/>
      <c r="J520" s="40"/>
      <c r="K520" s="40"/>
      <c r="O520" s="25"/>
      <c r="R520" s="25"/>
      <c r="U520" s="40"/>
    </row>
    <row r="521">
      <c r="A521" s="40"/>
      <c r="B521" s="40"/>
      <c r="D521" s="40"/>
      <c r="I521" s="41"/>
      <c r="J521" s="40"/>
      <c r="K521" s="40"/>
      <c r="O521" s="25"/>
      <c r="R521" s="25"/>
      <c r="U521" s="40"/>
    </row>
    <row r="522">
      <c r="A522" s="40"/>
      <c r="B522" s="40"/>
      <c r="D522" s="40"/>
      <c r="I522" s="41"/>
      <c r="J522" s="40"/>
      <c r="K522" s="40"/>
      <c r="O522" s="25"/>
      <c r="R522" s="25"/>
      <c r="U522" s="40"/>
    </row>
    <row r="523">
      <c r="A523" s="40"/>
      <c r="B523" s="40"/>
      <c r="D523" s="40"/>
      <c r="I523" s="41"/>
      <c r="J523" s="40"/>
      <c r="K523" s="40"/>
      <c r="O523" s="25"/>
      <c r="R523" s="25"/>
      <c r="U523" s="40"/>
    </row>
    <row r="524">
      <c r="A524" s="40"/>
      <c r="B524" s="40"/>
      <c r="D524" s="40"/>
      <c r="I524" s="41"/>
      <c r="J524" s="40"/>
      <c r="K524" s="40"/>
      <c r="O524" s="25"/>
      <c r="R524" s="25"/>
      <c r="U524" s="40"/>
    </row>
    <row r="525">
      <c r="A525" s="40"/>
      <c r="B525" s="40"/>
      <c r="D525" s="40"/>
      <c r="I525" s="41"/>
      <c r="J525" s="40"/>
      <c r="K525" s="40"/>
      <c r="O525" s="25"/>
      <c r="R525" s="25"/>
      <c r="U525" s="40"/>
    </row>
    <row r="526">
      <c r="A526" s="40"/>
      <c r="B526" s="40"/>
      <c r="D526" s="40"/>
      <c r="I526" s="41"/>
      <c r="J526" s="40"/>
      <c r="K526" s="40"/>
      <c r="O526" s="25"/>
      <c r="R526" s="25"/>
      <c r="U526" s="40"/>
    </row>
    <row r="527">
      <c r="A527" s="40"/>
      <c r="B527" s="40"/>
      <c r="D527" s="40"/>
      <c r="I527" s="41"/>
      <c r="J527" s="40"/>
      <c r="K527" s="40"/>
      <c r="O527" s="25"/>
      <c r="R527" s="25"/>
      <c r="U527" s="40"/>
    </row>
    <row r="528">
      <c r="A528" s="40"/>
      <c r="B528" s="40"/>
      <c r="D528" s="40"/>
      <c r="I528" s="41"/>
      <c r="J528" s="40"/>
      <c r="K528" s="40"/>
      <c r="O528" s="25"/>
      <c r="R528" s="25"/>
      <c r="U528" s="40"/>
    </row>
    <row r="529">
      <c r="A529" s="40"/>
      <c r="B529" s="40"/>
      <c r="D529" s="40"/>
      <c r="I529" s="41"/>
      <c r="J529" s="40"/>
      <c r="K529" s="40"/>
      <c r="O529" s="25"/>
      <c r="R529" s="25"/>
      <c r="U529" s="40"/>
    </row>
    <row r="530">
      <c r="A530" s="40"/>
      <c r="B530" s="40"/>
      <c r="D530" s="40"/>
      <c r="I530" s="41"/>
      <c r="J530" s="40"/>
      <c r="K530" s="40"/>
      <c r="O530" s="25"/>
      <c r="R530" s="25"/>
      <c r="U530" s="40"/>
    </row>
    <row r="531">
      <c r="A531" s="40"/>
      <c r="B531" s="40"/>
      <c r="D531" s="40"/>
      <c r="I531" s="41"/>
      <c r="J531" s="40"/>
      <c r="K531" s="40"/>
      <c r="O531" s="25"/>
      <c r="R531" s="25"/>
      <c r="U531" s="40"/>
    </row>
    <row r="532">
      <c r="A532" s="40"/>
      <c r="B532" s="40"/>
      <c r="D532" s="40"/>
      <c r="I532" s="41"/>
      <c r="J532" s="40"/>
      <c r="K532" s="40"/>
      <c r="O532" s="25"/>
      <c r="R532" s="25"/>
      <c r="U532" s="40"/>
    </row>
    <row r="533">
      <c r="A533" s="40"/>
      <c r="B533" s="40"/>
      <c r="D533" s="40"/>
      <c r="I533" s="41"/>
      <c r="J533" s="40"/>
      <c r="K533" s="40"/>
      <c r="O533" s="25"/>
      <c r="R533" s="25"/>
      <c r="U533" s="40"/>
    </row>
    <row r="534">
      <c r="A534" s="40"/>
      <c r="B534" s="40"/>
      <c r="D534" s="40"/>
      <c r="I534" s="41"/>
      <c r="J534" s="40"/>
      <c r="K534" s="40"/>
      <c r="O534" s="25"/>
      <c r="R534" s="25"/>
      <c r="U534" s="40"/>
    </row>
    <row r="535">
      <c r="A535" s="40"/>
      <c r="B535" s="40"/>
      <c r="D535" s="40"/>
      <c r="I535" s="41"/>
      <c r="J535" s="40"/>
      <c r="K535" s="40"/>
      <c r="O535" s="25"/>
      <c r="R535" s="25"/>
      <c r="U535" s="40"/>
    </row>
    <row r="536">
      <c r="A536" s="40"/>
      <c r="B536" s="40"/>
      <c r="D536" s="40"/>
      <c r="I536" s="41"/>
      <c r="J536" s="40"/>
      <c r="K536" s="40"/>
      <c r="O536" s="25"/>
      <c r="R536" s="25"/>
      <c r="U536" s="40"/>
    </row>
    <row r="537">
      <c r="A537" s="40"/>
      <c r="B537" s="40"/>
      <c r="D537" s="40"/>
      <c r="I537" s="41"/>
      <c r="J537" s="40"/>
      <c r="K537" s="40"/>
      <c r="O537" s="25"/>
      <c r="R537" s="25"/>
      <c r="U537" s="40"/>
    </row>
    <row r="538">
      <c r="A538" s="40"/>
      <c r="B538" s="40"/>
      <c r="D538" s="40"/>
      <c r="I538" s="41"/>
      <c r="J538" s="40"/>
      <c r="K538" s="40"/>
      <c r="O538" s="25"/>
      <c r="R538" s="25"/>
      <c r="U538" s="40"/>
    </row>
    <row r="539">
      <c r="A539" s="40"/>
      <c r="B539" s="40"/>
      <c r="D539" s="40"/>
      <c r="I539" s="41"/>
      <c r="J539" s="40"/>
      <c r="K539" s="40"/>
      <c r="O539" s="25"/>
      <c r="R539" s="25"/>
      <c r="U539" s="40"/>
    </row>
    <row r="540">
      <c r="A540" s="40"/>
      <c r="B540" s="40"/>
      <c r="D540" s="40"/>
      <c r="I540" s="41"/>
      <c r="J540" s="40"/>
      <c r="K540" s="40"/>
      <c r="O540" s="25"/>
      <c r="R540" s="25"/>
      <c r="U540" s="40"/>
    </row>
    <row r="541">
      <c r="A541" s="40"/>
      <c r="B541" s="40"/>
      <c r="D541" s="40"/>
      <c r="I541" s="41"/>
      <c r="J541" s="40"/>
      <c r="K541" s="40"/>
      <c r="O541" s="25"/>
      <c r="R541" s="25"/>
      <c r="U541" s="40"/>
    </row>
    <row r="542">
      <c r="A542" s="40"/>
      <c r="B542" s="40"/>
      <c r="D542" s="40"/>
      <c r="I542" s="41"/>
      <c r="J542" s="40"/>
      <c r="K542" s="40"/>
      <c r="O542" s="25"/>
      <c r="R542" s="25"/>
      <c r="U542" s="40"/>
    </row>
    <row r="543">
      <c r="A543" s="40"/>
      <c r="B543" s="40"/>
      <c r="D543" s="40"/>
      <c r="I543" s="41"/>
      <c r="J543" s="40"/>
      <c r="K543" s="40"/>
      <c r="O543" s="25"/>
      <c r="R543" s="25"/>
      <c r="U543" s="40"/>
    </row>
    <row r="544">
      <c r="A544" s="40"/>
      <c r="B544" s="40"/>
      <c r="D544" s="40"/>
      <c r="I544" s="41"/>
      <c r="J544" s="40"/>
      <c r="K544" s="40"/>
      <c r="O544" s="25"/>
      <c r="R544" s="25"/>
      <c r="U544" s="40"/>
    </row>
    <row r="545">
      <c r="A545" s="40"/>
      <c r="B545" s="40"/>
      <c r="D545" s="40"/>
      <c r="I545" s="41"/>
      <c r="J545" s="40"/>
      <c r="K545" s="40"/>
      <c r="O545" s="25"/>
      <c r="R545" s="25"/>
      <c r="U545" s="40"/>
    </row>
    <row r="546">
      <c r="A546" s="40"/>
      <c r="B546" s="40"/>
      <c r="D546" s="40"/>
      <c r="I546" s="41"/>
      <c r="J546" s="40"/>
      <c r="K546" s="40"/>
      <c r="O546" s="25"/>
      <c r="R546" s="25"/>
      <c r="U546" s="40"/>
    </row>
    <row r="547">
      <c r="A547" s="40"/>
      <c r="B547" s="40"/>
      <c r="D547" s="40"/>
      <c r="I547" s="41"/>
      <c r="J547" s="40"/>
      <c r="K547" s="40"/>
      <c r="O547" s="25"/>
      <c r="R547" s="25"/>
      <c r="U547" s="40"/>
    </row>
    <row r="548">
      <c r="A548" s="40"/>
      <c r="B548" s="40"/>
      <c r="D548" s="40"/>
      <c r="I548" s="41"/>
      <c r="J548" s="40"/>
      <c r="K548" s="40"/>
      <c r="O548" s="25"/>
      <c r="R548" s="25"/>
      <c r="U548" s="40"/>
    </row>
    <row r="549">
      <c r="A549" s="40"/>
      <c r="B549" s="40"/>
      <c r="D549" s="40"/>
      <c r="I549" s="41"/>
      <c r="J549" s="40"/>
      <c r="K549" s="40"/>
      <c r="O549" s="25"/>
      <c r="R549" s="25"/>
      <c r="U549" s="40"/>
    </row>
    <row r="550">
      <c r="A550" s="40"/>
      <c r="B550" s="40"/>
      <c r="D550" s="40"/>
      <c r="I550" s="41"/>
      <c r="J550" s="40"/>
      <c r="K550" s="40"/>
      <c r="O550" s="25"/>
      <c r="R550" s="25"/>
      <c r="U550" s="40"/>
    </row>
    <row r="551">
      <c r="A551" s="40"/>
      <c r="B551" s="40"/>
      <c r="D551" s="40"/>
      <c r="I551" s="41"/>
      <c r="J551" s="40"/>
      <c r="K551" s="40"/>
      <c r="O551" s="25"/>
      <c r="R551" s="25"/>
      <c r="U551" s="40"/>
    </row>
    <row r="552">
      <c r="A552" s="40"/>
      <c r="B552" s="40"/>
      <c r="D552" s="40"/>
      <c r="I552" s="41"/>
      <c r="J552" s="40"/>
      <c r="K552" s="40"/>
      <c r="O552" s="25"/>
      <c r="R552" s="25"/>
      <c r="U552" s="40"/>
    </row>
    <row r="553">
      <c r="A553" s="40"/>
      <c r="B553" s="40"/>
      <c r="D553" s="40"/>
      <c r="I553" s="41"/>
      <c r="J553" s="40"/>
      <c r="K553" s="40"/>
      <c r="O553" s="25"/>
      <c r="R553" s="25"/>
      <c r="U553" s="40"/>
    </row>
    <row r="554">
      <c r="A554" s="40"/>
      <c r="B554" s="40"/>
      <c r="D554" s="40"/>
      <c r="I554" s="41"/>
      <c r="J554" s="40"/>
      <c r="K554" s="40"/>
      <c r="O554" s="25"/>
      <c r="R554" s="25"/>
      <c r="U554" s="40"/>
    </row>
    <row r="555">
      <c r="A555" s="40"/>
      <c r="B555" s="40"/>
      <c r="D555" s="40"/>
      <c r="I555" s="41"/>
      <c r="J555" s="40"/>
      <c r="K555" s="40"/>
      <c r="O555" s="25"/>
      <c r="R555" s="25"/>
      <c r="U555" s="40"/>
    </row>
    <row r="556">
      <c r="A556" s="40"/>
      <c r="B556" s="40"/>
      <c r="D556" s="40"/>
      <c r="I556" s="41"/>
      <c r="J556" s="40"/>
      <c r="K556" s="40"/>
      <c r="O556" s="25"/>
      <c r="R556" s="25"/>
      <c r="U556" s="40"/>
    </row>
    <row r="557">
      <c r="A557" s="40"/>
      <c r="B557" s="40"/>
      <c r="D557" s="40"/>
      <c r="I557" s="41"/>
      <c r="J557" s="40"/>
      <c r="K557" s="40"/>
      <c r="O557" s="25"/>
      <c r="R557" s="25"/>
      <c r="U557" s="40"/>
    </row>
    <row r="558">
      <c r="A558" s="40"/>
      <c r="B558" s="40"/>
      <c r="D558" s="40"/>
      <c r="I558" s="41"/>
      <c r="J558" s="40"/>
      <c r="K558" s="40"/>
      <c r="O558" s="25"/>
      <c r="R558" s="25"/>
      <c r="U558" s="40"/>
    </row>
    <row r="559">
      <c r="A559" s="40"/>
      <c r="B559" s="40"/>
      <c r="D559" s="40"/>
      <c r="I559" s="41"/>
      <c r="J559" s="40"/>
      <c r="K559" s="40"/>
      <c r="O559" s="25"/>
      <c r="R559" s="25"/>
      <c r="U559" s="40"/>
    </row>
    <row r="560">
      <c r="A560" s="40"/>
      <c r="B560" s="40"/>
      <c r="D560" s="40"/>
      <c r="I560" s="41"/>
      <c r="J560" s="40"/>
      <c r="K560" s="40"/>
      <c r="O560" s="25"/>
      <c r="R560" s="25"/>
      <c r="U560" s="40"/>
    </row>
    <row r="561">
      <c r="A561" s="40"/>
      <c r="B561" s="40"/>
      <c r="D561" s="40"/>
      <c r="I561" s="41"/>
      <c r="J561" s="40"/>
      <c r="K561" s="40"/>
      <c r="O561" s="25"/>
      <c r="R561" s="25"/>
      <c r="U561" s="40"/>
    </row>
    <row r="562">
      <c r="A562" s="40"/>
      <c r="B562" s="40"/>
      <c r="D562" s="40"/>
      <c r="I562" s="41"/>
      <c r="J562" s="40"/>
      <c r="K562" s="40"/>
      <c r="O562" s="25"/>
      <c r="R562" s="25"/>
      <c r="U562" s="40"/>
    </row>
    <row r="563">
      <c r="A563" s="40"/>
      <c r="B563" s="40"/>
      <c r="D563" s="40"/>
      <c r="I563" s="41"/>
      <c r="J563" s="40"/>
      <c r="K563" s="40"/>
      <c r="O563" s="25"/>
      <c r="R563" s="25"/>
      <c r="U563" s="40"/>
    </row>
    <row r="564">
      <c r="A564" s="40"/>
      <c r="B564" s="40"/>
      <c r="D564" s="40"/>
      <c r="I564" s="41"/>
      <c r="J564" s="40"/>
      <c r="K564" s="40"/>
      <c r="O564" s="25"/>
      <c r="R564" s="25"/>
      <c r="U564" s="40"/>
    </row>
    <row r="565">
      <c r="A565" s="40"/>
      <c r="B565" s="40"/>
      <c r="D565" s="40"/>
      <c r="I565" s="41"/>
      <c r="J565" s="40"/>
      <c r="K565" s="40"/>
      <c r="O565" s="25"/>
      <c r="R565" s="25"/>
      <c r="U565" s="40"/>
    </row>
    <row r="566">
      <c r="A566" s="40"/>
      <c r="B566" s="40"/>
      <c r="D566" s="40"/>
      <c r="I566" s="41"/>
      <c r="J566" s="40"/>
      <c r="K566" s="40"/>
      <c r="O566" s="25"/>
      <c r="R566" s="25"/>
      <c r="U566" s="40"/>
    </row>
    <row r="567">
      <c r="A567" s="40"/>
      <c r="B567" s="40"/>
      <c r="D567" s="40"/>
      <c r="I567" s="41"/>
      <c r="J567" s="40"/>
      <c r="K567" s="40"/>
      <c r="O567" s="25"/>
      <c r="R567" s="25"/>
      <c r="U567" s="40"/>
    </row>
    <row r="568">
      <c r="A568" s="40"/>
      <c r="B568" s="40"/>
      <c r="D568" s="40"/>
      <c r="I568" s="41"/>
      <c r="J568" s="40"/>
      <c r="K568" s="40"/>
      <c r="O568" s="25"/>
      <c r="R568" s="25"/>
      <c r="U568" s="40"/>
    </row>
    <row r="569">
      <c r="A569" s="40"/>
      <c r="B569" s="40"/>
      <c r="D569" s="40"/>
      <c r="I569" s="41"/>
      <c r="J569" s="40"/>
      <c r="K569" s="40"/>
      <c r="O569" s="25"/>
      <c r="R569" s="25"/>
      <c r="U569" s="40"/>
    </row>
    <row r="570">
      <c r="A570" s="40"/>
      <c r="B570" s="40"/>
      <c r="D570" s="40"/>
      <c r="I570" s="41"/>
      <c r="J570" s="40"/>
      <c r="K570" s="40"/>
      <c r="O570" s="25"/>
      <c r="R570" s="25"/>
      <c r="U570" s="40"/>
    </row>
    <row r="571">
      <c r="A571" s="40"/>
      <c r="B571" s="40"/>
      <c r="D571" s="40"/>
      <c r="I571" s="41"/>
      <c r="J571" s="40"/>
      <c r="K571" s="40"/>
      <c r="O571" s="25"/>
      <c r="R571" s="25"/>
      <c r="U571" s="40"/>
    </row>
    <row r="572">
      <c r="A572" s="40"/>
      <c r="B572" s="40"/>
      <c r="D572" s="40"/>
      <c r="I572" s="41"/>
      <c r="J572" s="40"/>
      <c r="K572" s="40"/>
      <c r="O572" s="25"/>
      <c r="R572" s="25"/>
      <c r="U572" s="40"/>
    </row>
    <row r="573">
      <c r="A573" s="40"/>
      <c r="B573" s="40"/>
      <c r="D573" s="40"/>
      <c r="I573" s="41"/>
      <c r="J573" s="40"/>
      <c r="K573" s="40"/>
      <c r="O573" s="25"/>
      <c r="R573" s="25"/>
      <c r="U573" s="40"/>
    </row>
    <row r="574">
      <c r="A574" s="40"/>
      <c r="B574" s="40"/>
      <c r="D574" s="40"/>
      <c r="I574" s="41"/>
      <c r="J574" s="40"/>
      <c r="K574" s="40"/>
      <c r="O574" s="25"/>
      <c r="R574" s="25"/>
      <c r="U574" s="40"/>
    </row>
    <row r="575">
      <c r="A575" s="40"/>
      <c r="B575" s="40"/>
      <c r="D575" s="40"/>
      <c r="I575" s="41"/>
      <c r="J575" s="40"/>
      <c r="K575" s="40"/>
      <c r="O575" s="25"/>
      <c r="R575" s="25"/>
      <c r="U575" s="40"/>
    </row>
    <row r="576">
      <c r="A576" s="40"/>
      <c r="B576" s="40"/>
      <c r="D576" s="40"/>
      <c r="I576" s="41"/>
      <c r="J576" s="40"/>
      <c r="K576" s="40"/>
      <c r="O576" s="25"/>
      <c r="R576" s="25"/>
      <c r="U576" s="40"/>
    </row>
    <row r="577">
      <c r="A577" s="40"/>
      <c r="B577" s="40"/>
      <c r="D577" s="40"/>
      <c r="I577" s="41"/>
      <c r="J577" s="40"/>
      <c r="K577" s="40"/>
      <c r="O577" s="25"/>
      <c r="R577" s="25"/>
      <c r="U577" s="40"/>
    </row>
    <row r="578">
      <c r="A578" s="40"/>
      <c r="B578" s="40"/>
      <c r="D578" s="40"/>
      <c r="I578" s="41"/>
      <c r="J578" s="40"/>
      <c r="K578" s="40"/>
      <c r="O578" s="25"/>
      <c r="R578" s="25"/>
      <c r="U578" s="40"/>
    </row>
    <row r="579">
      <c r="A579" s="40"/>
      <c r="B579" s="40"/>
      <c r="D579" s="40"/>
      <c r="I579" s="41"/>
      <c r="J579" s="40"/>
      <c r="K579" s="40"/>
      <c r="O579" s="25"/>
      <c r="R579" s="25"/>
      <c r="U579" s="40"/>
    </row>
    <row r="580">
      <c r="A580" s="40"/>
      <c r="B580" s="40"/>
      <c r="D580" s="40"/>
      <c r="I580" s="41"/>
      <c r="J580" s="40"/>
      <c r="K580" s="40"/>
      <c r="O580" s="25"/>
      <c r="R580" s="25"/>
      <c r="U580" s="40"/>
    </row>
    <row r="581">
      <c r="A581" s="40"/>
      <c r="B581" s="40"/>
      <c r="D581" s="40"/>
      <c r="I581" s="41"/>
      <c r="J581" s="40"/>
      <c r="K581" s="40"/>
      <c r="O581" s="25"/>
      <c r="R581" s="25"/>
      <c r="U581" s="40"/>
    </row>
    <row r="582">
      <c r="A582" s="40"/>
      <c r="B582" s="40"/>
      <c r="D582" s="40"/>
      <c r="I582" s="41"/>
      <c r="J582" s="40"/>
      <c r="K582" s="40"/>
      <c r="O582" s="25"/>
      <c r="R582" s="25"/>
      <c r="U582" s="40"/>
    </row>
    <row r="583">
      <c r="A583" s="40"/>
      <c r="B583" s="40"/>
      <c r="D583" s="40"/>
      <c r="I583" s="41"/>
      <c r="J583" s="40"/>
      <c r="K583" s="40"/>
      <c r="O583" s="25"/>
      <c r="R583" s="25"/>
      <c r="U583" s="40"/>
    </row>
    <row r="584">
      <c r="A584" s="40"/>
      <c r="B584" s="40"/>
      <c r="D584" s="40"/>
      <c r="I584" s="41"/>
      <c r="J584" s="40"/>
      <c r="K584" s="40"/>
      <c r="O584" s="25"/>
      <c r="R584" s="25"/>
      <c r="U584" s="40"/>
    </row>
    <row r="585">
      <c r="A585" s="40"/>
      <c r="B585" s="40"/>
      <c r="D585" s="40"/>
      <c r="I585" s="41"/>
      <c r="J585" s="40"/>
      <c r="K585" s="40"/>
      <c r="O585" s="25"/>
      <c r="R585" s="25"/>
      <c r="U585" s="40"/>
    </row>
    <row r="586">
      <c r="A586" s="40"/>
      <c r="B586" s="40"/>
      <c r="D586" s="40"/>
      <c r="I586" s="41"/>
      <c r="J586" s="40"/>
      <c r="K586" s="40"/>
      <c r="O586" s="25"/>
      <c r="R586" s="25"/>
      <c r="U586" s="40"/>
    </row>
    <row r="587">
      <c r="A587" s="40"/>
      <c r="B587" s="40"/>
      <c r="D587" s="40"/>
      <c r="I587" s="41"/>
      <c r="J587" s="40"/>
      <c r="K587" s="40"/>
      <c r="O587" s="25"/>
      <c r="R587" s="25"/>
      <c r="U587" s="40"/>
    </row>
    <row r="588">
      <c r="A588" s="40"/>
      <c r="B588" s="40"/>
      <c r="D588" s="40"/>
      <c r="I588" s="41"/>
      <c r="J588" s="40"/>
      <c r="K588" s="40"/>
      <c r="O588" s="25"/>
      <c r="R588" s="25"/>
      <c r="U588" s="40"/>
    </row>
    <row r="589">
      <c r="A589" s="40"/>
      <c r="B589" s="40"/>
      <c r="D589" s="40"/>
      <c r="I589" s="41"/>
      <c r="J589" s="40"/>
      <c r="K589" s="40"/>
      <c r="O589" s="25"/>
      <c r="R589" s="25"/>
      <c r="U589" s="40"/>
    </row>
    <row r="590">
      <c r="A590" s="40"/>
      <c r="B590" s="40"/>
      <c r="D590" s="40"/>
      <c r="I590" s="41"/>
      <c r="J590" s="40"/>
      <c r="K590" s="40"/>
      <c r="O590" s="25"/>
      <c r="R590" s="25"/>
      <c r="U590" s="40"/>
    </row>
    <row r="591">
      <c r="A591" s="40"/>
      <c r="B591" s="40"/>
      <c r="D591" s="40"/>
      <c r="I591" s="41"/>
      <c r="J591" s="40"/>
      <c r="K591" s="40"/>
      <c r="O591" s="25"/>
      <c r="R591" s="25"/>
      <c r="U591" s="40"/>
    </row>
    <row r="592">
      <c r="A592" s="40"/>
      <c r="B592" s="40"/>
      <c r="D592" s="40"/>
      <c r="I592" s="41"/>
      <c r="J592" s="40"/>
      <c r="K592" s="40"/>
      <c r="O592" s="25"/>
      <c r="R592" s="25"/>
      <c r="U592" s="40"/>
    </row>
    <row r="593">
      <c r="A593" s="40"/>
      <c r="B593" s="40"/>
      <c r="D593" s="40"/>
      <c r="I593" s="41"/>
      <c r="J593" s="40"/>
      <c r="K593" s="40"/>
      <c r="O593" s="25"/>
      <c r="R593" s="25"/>
      <c r="U593" s="40"/>
    </row>
    <row r="594">
      <c r="A594" s="40"/>
      <c r="B594" s="40"/>
      <c r="D594" s="40"/>
      <c r="I594" s="41"/>
      <c r="J594" s="40"/>
      <c r="K594" s="40"/>
      <c r="O594" s="25"/>
      <c r="R594" s="25"/>
      <c r="U594" s="40"/>
    </row>
    <row r="595">
      <c r="A595" s="40"/>
      <c r="B595" s="40"/>
      <c r="D595" s="40"/>
      <c r="I595" s="41"/>
      <c r="J595" s="40"/>
      <c r="K595" s="40"/>
      <c r="O595" s="25"/>
      <c r="R595" s="25"/>
      <c r="U595" s="40"/>
    </row>
    <row r="596">
      <c r="A596" s="40"/>
      <c r="B596" s="40"/>
      <c r="D596" s="40"/>
      <c r="I596" s="41"/>
      <c r="J596" s="40"/>
      <c r="K596" s="40"/>
      <c r="O596" s="25"/>
      <c r="R596" s="25"/>
      <c r="U596" s="40"/>
    </row>
    <row r="597">
      <c r="A597" s="40"/>
      <c r="B597" s="40"/>
      <c r="D597" s="40"/>
      <c r="I597" s="41"/>
      <c r="J597" s="40"/>
      <c r="K597" s="40"/>
      <c r="O597" s="25"/>
      <c r="R597" s="25"/>
      <c r="U597" s="40"/>
    </row>
    <row r="598">
      <c r="A598" s="40"/>
      <c r="B598" s="40"/>
      <c r="D598" s="40"/>
      <c r="I598" s="41"/>
      <c r="J598" s="40"/>
      <c r="K598" s="40"/>
      <c r="O598" s="25"/>
      <c r="R598" s="25"/>
      <c r="U598" s="40"/>
    </row>
    <row r="599">
      <c r="A599" s="40"/>
      <c r="B599" s="40"/>
      <c r="D599" s="40"/>
      <c r="I599" s="41"/>
      <c r="J599" s="40"/>
      <c r="K599" s="40"/>
      <c r="O599" s="25"/>
      <c r="R599" s="25"/>
      <c r="U599" s="40"/>
    </row>
    <row r="600">
      <c r="A600" s="40"/>
      <c r="B600" s="40"/>
      <c r="D600" s="40"/>
      <c r="I600" s="41"/>
      <c r="J600" s="40"/>
      <c r="K600" s="40"/>
      <c r="O600" s="25"/>
      <c r="R600" s="25"/>
      <c r="U600" s="40"/>
    </row>
    <row r="601">
      <c r="A601" s="40"/>
      <c r="B601" s="40"/>
      <c r="D601" s="40"/>
      <c r="I601" s="41"/>
      <c r="J601" s="40"/>
      <c r="K601" s="40"/>
      <c r="O601" s="25"/>
      <c r="R601" s="25"/>
      <c r="U601" s="40"/>
    </row>
    <row r="602">
      <c r="A602" s="40"/>
      <c r="B602" s="40"/>
      <c r="D602" s="40"/>
      <c r="I602" s="41"/>
      <c r="J602" s="40"/>
      <c r="K602" s="40"/>
      <c r="O602" s="25"/>
      <c r="R602" s="25"/>
      <c r="U602" s="40"/>
    </row>
    <row r="603">
      <c r="A603" s="40"/>
      <c r="B603" s="40"/>
      <c r="D603" s="40"/>
      <c r="I603" s="41"/>
      <c r="J603" s="40"/>
      <c r="K603" s="40"/>
      <c r="O603" s="25"/>
      <c r="R603" s="25"/>
      <c r="U603" s="40"/>
    </row>
    <row r="604">
      <c r="A604" s="40"/>
      <c r="B604" s="40"/>
      <c r="D604" s="40"/>
      <c r="I604" s="41"/>
      <c r="J604" s="40"/>
      <c r="K604" s="40"/>
      <c r="O604" s="25"/>
      <c r="R604" s="25"/>
      <c r="U604" s="40"/>
    </row>
    <row r="605">
      <c r="A605" s="40"/>
      <c r="B605" s="40"/>
      <c r="D605" s="40"/>
      <c r="I605" s="41"/>
      <c r="J605" s="40"/>
      <c r="K605" s="40"/>
      <c r="O605" s="25"/>
      <c r="R605" s="25"/>
      <c r="U605" s="40"/>
    </row>
    <row r="606">
      <c r="A606" s="40"/>
      <c r="B606" s="40"/>
      <c r="D606" s="40"/>
      <c r="I606" s="41"/>
      <c r="J606" s="40"/>
      <c r="K606" s="40"/>
      <c r="O606" s="25"/>
      <c r="R606" s="25"/>
      <c r="U606" s="40"/>
    </row>
    <row r="607">
      <c r="A607" s="40"/>
      <c r="B607" s="40"/>
      <c r="D607" s="40"/>
      <c r="I607" s="41"/>
      <c r="J607" s="40"/>
      <c r="K607" s="40"/>
      <c r="O607" s="25"/>
      <c r="R607" s="25"/>
      <c r="U607" s="40"/>
    </row>
    <row r="608">
      <c r="A608" s="40"/>
      <c r="B608" s="40"/>
      <c r="D608" s="40"/>
      <c r="I608" s="41"/>
      <c r="J608" s="40"/>
      <c r="K608" s="40"/>
      <c r="O608" s="25"/>
      <c r="R608" s="25"/>
      <c r="U608" s="40"/>
    </row>
    <row r="609">
      <c r="A609" s="40"/>
      <c r="B609" s="40"/>
      <c r="D609" s="40"/>
      <c r="I609" s="41"/>
      <c r="J609" s="40"/>
      <c r="K609" s="40"/>
      <c r="O609" s="25"/>
      <c r="R609" s="25"/>
      <c r="U609" s="40"/>
    </row>
    <row r="610">
      <c r="A610" s="40"/>
      <c r="B610" s="40"/>
      <c r="D610" s="40"/>
      <c r="I610" s="41"/>
      <c r="J610" s="40"/>
      <c r="K610" s="40"/>
      <c r="O610" s="25"/>
      <c r="R610" s="25"/>
      <c r="U610" s="40"/>
    </row>
    <row r="611">
      <c r="A611" s="40"/>
      <c r="B611" s="40"/>
      <c r="D611" s="40"/>
      <c r="I611" s="41"/>
      <c r="J611" s="40"/>
      <c r="K611" s="40"/>
      <c r="O611" s="25"/>
      <c r="R611" s="25"/>
      <c r="U611" s="40"/>
    </row>
    <row r="612">
      <c r="A612" s="40"/>
      <c r="B612" s="40"/>
      <c r="D612" s="40"/>
      <c r="I612" s="41"/>
      <c r="J612" s="40"/>
      <c r="K612" s="40"/>
      <c r="O612" s="25"/>
      <c r="R612" s="25"/>
      <c r="U612" s="40"/>
    </row>
    <row r="613">
      <c r="A613" s="40"/>
      <c r="B613" s="40"/>
      <c r="D613" s="40"/>
      <c r="I613" s="41"/>
      <c r="J613" s="40"/>
      <c r="K613" s="40"/>
      <c r="O613" s="25"/>
      <c r="R613" s="25"/>
      <c r="U613" s="40"/>
    </row>
    <row r="614">
      <c r="A614" s="40"/>
      <c r="B614" s="40"/>
      <c r="D614" s="40"/>
      <c r="I614" s="41"/>
      <c r="J614" s="40"/>
      <c r="K614" s="40"/>
      <c r="O614" s="25"/>
      <c r="R614" s="25"/>
      <c r="U614" s="40"/>
    </row>
    <row r="615">
      <c r="A615" s="40"/>
      <c r="B615" s="40"/>
      <c r="D615" s="40"/>
      <c r="I615" s="41"/>
      <c r="J615" s="40"/>
      <c r="K615" s="40"/>
      <c r="O615" s="25"/>
      <c r="R615" s="25"/>
      <c r="U615" s="40"/>
    </row>
    <row r="616">
      <c r="A616" s="40"/>
      <c r="B616" s="40"/>
      <c r="D616" s="40"/>
      <c r="I616" s="41"/>
      <c r="J616" s="40"/>
      <c r="K616" s="40"/>
      <c r="O616" s="25"/>
      <c r="R616" s="25"/>
      <c r="U616" s="40"/>
    </row>
    <row r="617">
      <c r="A617" s="40"/>
      <c r="B617" s="40"/>
      <c r="D617" s="40"/>
      <c r="I617" s="41"/>
      <c r="J617" s="40"/>
      <c r="K617" s="40"/>
      <c r="O617" s="25"/>
      <c r="R617" s="25"/>
      <c r="U617" s="40"/>
    </row>
    <row r="618">
      <c r="A618" s="40"/>
      <c r="B618" s="40"/>
      <c r="D618" s="40"/>
      <c r="I618" s="41"/>
      <c r="J618" s="40"/>
      <c r="K618" s="40"/>
      <c r="O618" s="25"/>
      <c r="R618" s="25"/>
      <c r="U618" s="40"/>
    </row>
    <row r="619">
      <c r="A619" s="40"/>
      <c r="B619" s="40"/>
      <c r="D619" s="40"/>
      <c r="I619" s="41"/>
      <c r="J619" s="40"/>
      <c r="K619" s="40"/>
      <c r="O619" s="25"/>
      <c r="R619" s="25"/>
      <c r="U619" s="40"/>
    </row>
    <row r="620">
      <c r="A620" s="40"/>
      <c r="B620" s="40"/>
      <c r="D620" s="40"/>
      <c r="I620" s="41"/>
      <c r="J620" s="40"/>
      <c r="K620" s="40"/>
      <c r="O620" s="25"/>
      <c r="R620" s="25"/>
      <c r="U620" s="40"/>
    </row>
    <row r="621">
      <c r="A621" s="40"/>
      <c r="B621" s="40"/>
      <c r="D621" s="40"/>
      <c r="I621" s="41"/>
      <c r="J621" s="40"/>
      <c r="K621" s="40"/>
      <c r="O621" s="25"/>
      <c r="R621" s="25"/>
      <c r="U621" s="40"/>
    </row>
    <row r="622">
      <c r="A622" s="40"/>
      <c r="B622" s="40"/>
      <c r="D622" s="40"/>
      <c r="I622" s="41"/>
      <c r="J622" s="40"/>
      <c r="K622" s="40"/>
      <c r="O622" s="25"/>
      <c r="R622" s="25"/>
      <c r="U622" s="40"/>
    </row>
    <row r="623">
      <c r="A623" s="40"/>
      <c r="B623" s="40"/>
      <c r="D623" s="40"/>
      <c r="I623" s="41"/>
      <c r="J623" s="40"/>
      <c r="K623" s="40"/>
      <c r="O623" s="25"/>
      <c r="R623" s="25"/>
      <c r="U623" s="40"/>
    </row>
    <row r="624">
      <c r="A624" s="40"/>
      <c r="B624" s="40"/>
      <c r="D624" s="40"/>
      <c r="I624" s="41"/>
      <c r="J624" s="40"/>
      <c r="K624" s="40"/>
      <c r="O624" s="25"/>
      <c r="R624" s="25"/>
      <c r="U624" s="40"/>
    </row>
    <row r="625">
      <c r="A625" s="40"/>
      <c r="B625" s="40"/>
      <c r="D625" s="40"/>
      <c r="I625" s="41"/>
      <c r="J625" s="40"/>
      <c r="K625" s="40"/>
      <c r="O625" s="25"/>
      <c r="R625" s="25"/>
      <c r="U625" s="40"/>
    </row>
    <row r="626">
      <c r="A626" s="40"/>
      <c r="B626" s="40"/>
      <c r="D626" s="40"/>
      <c r="I626" s="41"/>
      <c r="J626" s="40"/>
      <c r="K626" s="40"/>
      <c r="O626" s="25"/>
      <c r="R626" s="25"/>
      <c r="U626" s="40"/>
    </row>
    <row r="627">
      <c r="A627" s="40"/>
      <c r="B627" s="40"/>
      <c r="D627" s="40"/>
      <c r="I627" s="41"/>
      <c r="J627" s="40"/>
      <c r="K627" s="40"/>
      <c r="O627" s="25"/>
      <c r="R627" s="25"/>
      <c r="U627" s="40"/>
    </row>
    <row r="628">
      <c r="A628" s="40"/>
      <c r="B628" s="40"/>
      <c r="D628" s="40"/>
      <c r="I628" s="41"/>
      <c r="J628" s="40"/>
      <c r="K628" s="40"/>
      <c r="O628" s="25"/>
      <c r="R628" s="25"/>
      <c r="U628" s="40"/>
    </row>
    <row r="629">
      <c r="A629" s="40"/>
      <c r="B629" s="40"/>
      <c r="D629" s="40"/>
      <c r="I629" s="41"/>
      <c r="J629" s="40"/>
      <c r="K629" s="40"/>
      <c r="O629" s="25"/>
      <c r="R629" s="25"/>
      <c r="U629" s="40"/>
    </row>
    <row r="630">
      <c r="A630" s="40"/>
      <c r="B630" s="40"/>
      <c r="D630" s="40"/>
      <c r="I630" s="41"/>
      <c r="J630" s="40"/>
      <c r="K630" s="40"/>
      <c r="O630" s="25"/>
      <c r="R630" s="25"/>
      <c r="U630" s="40"/>
    </row>
    <row r="631">
      <c r="A631" s="40"/>
      <c r="B631" s="40"/>
      <c r="D631" s="40"/>
      <c r="I631" s="41"/>
      <c r="J631" s="40"/>
      <c r="K631" s="40"/>
      <c r="O631" s="25"/>
      <c r="R631" s="25"/>
      <c r="U631" s="40"/>
    </row>
    <row r="632">
      <c r="A632" s="40"/>
      <c r="B632" s="40"/>
      <c r="D632" s="40"/>
      <c r="I632" s="41"/>
      <c r="J632" s="40"/>
      <c r="K632" s="40"/>
      <c r="O632" s="25"/>
      <c r="R632" s="25"/>
      <c r="U632" s="40"/>
    </row>
    <row r="633">
      <c r="A633" s="40"/>
      <c r="B633" s="40"/>
      <c r="D633" s="40"/>
      <c r="I633" s="41"/>
      <c r="J633" s="40"/>
      <c r="K633" s="40"/>
      <c r="O633" s="25"/>
      <c r="R633" s="25"/>
      <c r="U633" s="40"/>
    </row>
    <row r="634">
      <c r="A634" s="40"/>
      <c r="B634" s="40"/>
      <c r="D634" s="40"/>
      <c r="I634" s="41"/>
      <c r="J634" s="40"/>
      <c r="K634" s="40"/>
      <c r="O634" s="25"/>
      <c r="R634" s="25"/>
      <c r="U634" s="40"/>
    </row>
    <row r="635">
      <c r="A635" s="40"/>
      <c r="B635" s="40"/>
      <c r="D635" s="40"/>
      <c r="I635" s="41"/>
      <c r="J635" s="40"/>
      <c r="K635" s="40"/>
      <c r="O635" s="25"/>
      <c r="R635" s="25"/>
      <c r="U635" s="40"/>
    </row>
    <row r="636">
      <c r="A636" s="40"/>
      <c r="B636" s="40"/>
      <c r="D636" s="40"/>
      <c r="I636" s="41"/>
      <c r="J636" s="40"/>
      <c r="K636" s="40"/>
      <c r="O636" s="25"/>
      <c r="R636" s="25"/>
      <c r="U636" s="40"/>
    </row>
    <row r="637">
      <c r="A637" s="40"/>
      <c r="B637" s="40"/>
      <c r="D637" s="40"/>
      <c r="I637" s="41"/>
      <c r="J637" s="40"/>
      <c r="K637" s="40"/>
      <c r="O637" s="25"/>
      <c r="R637" s="25"/>
      <c r="U637" s="40"/>
    </row>
    <row r="638">
      <c r="A638" s="40"/>
      <c r="B638" s="40"/>
      <c r="D638" s="40"/>
      <c r="I638" s="41"/>
      <c r="J638" s="40"/>
      <c r="K638" s="40"/>
      <c r="O638" s="25"/>
      <c r="R638" s="25"/>
      <c r="U638" s="40"/>
    </row>
    <row r="639">
      <c r="A639" s="40"/>
      <c r="B639" s="40"/>
      <c r="D639" s="40"/>
      <c r="I639" s="41"/>
      <c r="J639" s="40"/>
      <c r="K639" s="40"/>
      <c r="O639" s="25"/>
      <c r="R639" s="25"/>
      <c r="U639" s="40"/>
    </row>
    <row r="640">
      <c r="A640" s="40"/>
      <c r="B640" s="40"/>
      <c r="D640" s="40"/>
      <c r="I640" s="41"/>
      <c r="J640" s="40"/>
      <c r="K640" s="40"/>
      <c r="O640" s="25"/>
      <c r="R640" s="25"/>
      <c r="U640" s="40"/>
    </row>
    <row r="641">
      <c r="A641" s="40"/>
      <c r="B641" s="40"/>
      <c r="D641" s="40"/>
      <c r="I641" s="41"/>
      <c r="J641" s="40"/>
      <c r="K641" s="40"/>
      <c r="O641" s="25"/>
      <c r="R641" s="25"/>
      <c r="U641" s="40"/>
    </row>
    <row r="642">
      <c r="A642" s="40"/>
      <c r="B642" s="40"/>
      <c r="D642" s="40"/>
      <c r="I642" s="41"/>
      <c r="J642" s="40"/>
      <c r="K642" s="40"/>
      <c r="O642" s="25"/>
      <c r="R642" s="25"/>
      <c r="U642" s="40"/>
    </row>
    <row r="643">
      <c r="A643" s="40"/>
      <c r="B643" s="40"/>
      <c r="D643" s="40"/>
      <c r="I643" s="41"/>
      <c r="J643" s="40"/>
      <c r="K643" s="40"/>
      <c r="O643" s="25"/>
      <c r="R643" s="25"/>
      <c r="U643" s="40"/>
    </row>
    <row r="644">
      <c r="A644" s="40"/>
      <c r="B644" s="40"/>
      <c r="D644" s="40"/>
      <c r="I644" s="41"/>
      <c r="J644" s="40"/>
      <c r="K644" s="40"/>
      <c r="O644" s="25"/>
      <c r="R644" s="25"/>
      <c r="U644" s="40"/>
    </row>
    <row r="645">
      <c r="A645" s="40"/>
      <c r="B645" s="40"/>
      <c r="D645" s="40"/>
      <c r="I645" s="41"/>
      <c r="J645" s="40"/>
      <c r="K645" s="40"/>
      <c r="O645" s="25"/>
      <c r="R645" s="25"/>
      <c r="U645" s="40"/>
    </row>
    <row r="646">
      <c r="A646" s="40"/>
      <c r="B646" s="40"/>
      <c r="D646" s="40"/>
      <c r="I646" s="41"/>
      <c r="J646" s="40"/>
      <c r="K646" s="40"/>
      <c r="O646" s="25"/>
      <c r="R646" s="25"/>
      <c r="U646" s="40"/>
    </row>
    <row r="647">
      <c r="A647" s="40"/>
      <c r="B647" s="40"/>
      <c r="D647" s="40"/>
      <c r="I647" s="41"/>
      <c r="J647" s="40"/>
      <c r="K647" s="40"/>
      <c r="O647" s="25"/>
      <c r="R647" s="25"/>
      <c r="U647" s="40"/>
    </row>
    <row r="648">
      <c r="A648" s="40"/>
      <c r="B648" s="40"/>
      <c r="D648" s="40"/>
      <c r="I648" s="41"/>
      <c r="J648" s="40"/>
      <c r="K648" s="40"/>
      <c r="O648" s="25"/>
      <c r="R648" s="25"/>
      <c r="U648" s="40"/>
    </row>
    <row r="649">
      <c r="A649" s="40"/>
      <c r="B649" s="40"/>
      <c r="D649" s="40"/>
      <c r="I649" s="41"/>
      <c r="J649" s="40"/>
      <c r="K649" s="40"/>
      <c r="O649" s="25"/>
      <c r="R649" s="25"/>
      <c r="U649" s="40"/>
    </row>
    <row r="650">
      <c r="A650" s="40"/>
      <c r="B650" s="40"/>
      <c r="D650" s="40"/>
      <c r="I650" s="41"/>
      <c r="J650" s="40"/>
      <c r="K650" s="40"/>
      <c r="O650" s="25"/>
      <c r="R650" s="25"/>
      <c r="U650" s="40"/>
    </row>
    <row r="651">
      <c r="A651" s="40"/>
      <c r="B651" s="40"/>
      <c r="D651" s="40"/>
      <c r="I651" s="41"/>
      <c r="J651" s="40"/>
      <c r="K651" s="40"/>
      <c r="O651" s="25"/>
      <c r="R651" s="25"/>
      <c r="U651" s="40"/>
    </row>
    <row r="652">
      <c r="A652" s="40"/>
      <c r="B652" s="40"/>
      <c r="D652" s="40"/>
      <c r="I652" s="41"/>
      <c r="J652" s="40"/>
      <c r="K652" s="40"/>
      <c r="O652" s="25"/>
      <c r="R652" s="25"/>
      <c r="U652" s="40"/>
    </row>
    <row r="653">
      <c r="A653" s="40"/>
      <c r="B653" s="40"/>
      <c r="D653" s="40"/>
      <c r="I653" s="41"/>
      <c r="J653" s="40"/>
      <c r="K653" s="40"/>
      <c r="O653" s="25"/>
      <c r="R653" s="25"/>
      <c r="U653" s="40"/>
    </row>
    <row r="654">
      <c r="A654" s="40"/>
      <c r="B654" s="40"/>
      <c r="D654" s="40"/>
      <c r="I654" s="41"/>
      <c r="J654" s="40"/>
      <c r="K654" s="40"/>
      <c r="O654" s="25"/>
      <c r="R654" s="25"/>
      <c r="U654" s="40"/>
    </row>
    <row r="655">
      <c r="A655" s="40"/>
      <c r="B655" s="40"/>
      <c r="D655" s="40"/>
      <c r="I655" s="41"/>
      <c r="J655" s="40"/>
      <c r="K655" s="40"/>
      <c r="O655" s="25"/>
      <c r="R655" s="25"/>
      <c r="U655" s="40"/>
    </row>
    <row r="656">
      <c r="A656" s="40"/>
      <c r="B656" s="40"/>
      <c r="D656" s="40"/>
      <c r="I656" s="41"/>
      <c r="J656" s="40"/>
      <c r="K656" s="40"/>
      <c r="O656" s="25"/>
      <c r="R656" s="25"/>
      <c r="U656" s="40"/>
    </row>
    <row r="657">
      <c r="A657" s="40"/>
      <c r="B657" s="40"/>
      <c r="D657" s="40"/>
      <c r="I657" s="41"/>
      <c r="J657" s="40"/>
      <c r="K657" s="40"/>
      <c r="O657" s="25"/>
      <c r="R657" s="25"/>
      <c r="U657" s="40"/>
    </row>
    <row r="658">
      <c r="A658" s="40"/>
      <c r="B658" s="40"/>
      <c r="D658" s="40"/>
      <c r="I658" s="41"/>
      <c r="J658" s="40"/>
      <c r="K658" s="40"/>
      <c r="O658" s="25"/>
      <c r="R658" s="25"/>
      <c r="U658" s="40"/>
    </row>
    <row r="659">
      <c r="A659" s="40"/>
      <c r="B659" s="40"/>
      <c r="D659" s="40"/>
      <c r="I659" s="41"/>
      <c r="J659" s="40"/>
      <c r="K659" s="40"/>
      <c r="O659" s="25"/>
      <c r="R659" s="25"/>
      <c r="U659" s="40"/>
    </row>
    <row r="660">
      <c r="A660" s="40"/>
      <c r="B660" s="40"/>
      <c r="D660" s="40"/>
      <c r="I660" s="41"/>
      <c r="J660" s="40"/>
      <c r="K660" s="40"/>
      <c r="O660" s="25"/>
      <c r="R660" s="25"/>
      <c r="U660" s="40"/>
    </row>
    <row r="661">
      <c r="A661" s="40"/>
      <c r="B661" s="40"/>
      <c r="D661" s="40"/>
      <c r="I661" s="41"/>
      <c r="J661" s="40"/>
      <c r="K661" s="40"/>
      <c r="O661" s="25"/>
      <c r="R661" s="25"/>
      <c r="U661" s="40"/>
    </row>
    <row r="662">
      <c r="A662" s="40"/>
      <c r="B662" s="40"/>
      <c r="D662" s="40"/>
      <c r="I662" s="41"/>
      <c r="J662" s="40"/>
      <c r="K662" s="40"/>
      <c r="O662" s="25"/>
      <c r="R662" s="25"/>
      <c r="U662" s="40"/>
    </row>
    <row r="663">
      <c r="A663" s="40"/>
      <c r="B663" s="40"/>
      <c r="D663" s="40"/>
      <c r="I663" s="41"/>
      <c r="J663" s="40"/>
      <c r="K663" s="40"/>
      <c r="O663" s="25"/>
      <c r="R663" s="25"/>
      <c r="U663" s="40"/>
    </row>
    <row r="664">
      <c r="A664" s="40"/>
      <c r="B664" s="40"/>
      <c r="D664" s="40"/>
      <c r="I664" s="41"/>
      <c r="J664" s="40"/>
      <c r="K664" s="40"/>
      <c r="O664" s="25"/>
      <c r="R664" s="25"/>
      <c r="U664" s="40"/>
    </row>
    <row r="665">
      <c r="A665" s="40"/>
      <c r="B665" s="40"/>
      <c r="D665" s="40"/>
      <c r="I665" s="41"/>
      <c r="J665" s="40"/>
      <c r="K665" s="40"/>
      <c r="O665" s="25"/>
      <c r="R665" s="25"/>
      <c r="U665" s="40"/>
    </row>
    <row r="666">
      <c r="A666" s="40"/>
      <c r="B666" s="40"/>
      <c r="D666" s="40"/>
      <c r="I666" s="41"/>
      <c r="J666" s="40"/>
      <c r="K666" s="40"/>
      <c r="O666" s="25"/>
      <c r="R666" s="25"/>
      <c r="U666" s="40"/>
    </row>
    <row r="667">
      <c r="A667" s="40"/>
      <c r="B667" s="40"/>
      <c r="D667" s="40"/>
      <c r="I667" s="41"/>
      <c r="J667" s="40"/>
      <c r="K667" s="40"/>
      <c r="O667" s="25"/>
      <c r="R667" s="25"/>
      <c r="U667" s="40"/>
    </row>
    <row r="668">
      <c r="A668" s="40"/>
      <c r="B668" s="40"/>
      <c r="D668" s="40"/>
      <c r="I668" s="41"/>
      <c r="J668" s="40"/>
      <c r="K668" s="40"/>
      <c r="O668" s="25"/>
      <c r="R668" s="25"/>
      <c r="U668" s="40"/>
    </row>
    <row r="669">
      <c r="A669" s="40"/>
      <c r="B669" s="40"/>
      <c r="D669" s="40"/>
      <c r="I669" s="41"/>
      <c r="J669" s="40"/>
      <c r="K669" s="40"/>
      <c r="O669" s="25"/>
      <c r="R669" s="25"/>
      <c r="U669" s="40"/>
    </row>
    <row r="670">
      <c r="A670" s="40"/>
      <c r="B670" s="40"/>
      <c r="D670" s="40"/>
      <c r="I670" s="41"/>
      <c r="J670" s="40"/>
      <c r="K670" s="40"/>
      <c r="O670" s="25"/>
      <c r="R670" s="25"/>
      <c r="U670" s="40"/>
    </row>
    <row r="671">
      <c r="A671" s="40"/>
      <c r="B671" s="40"/>
      <c r="D671" s="40"/>
      <c r="I671" s="41"/>
      <c r="J671" s="40"/>
      <c r="K671" s="40"/>
      <c r="O671" s="25"/>
      <c r="R671" s="25"/>
      <c r="U671" s="40"/>
    </row>
    <row r="672">
      <c r="A672" s="40"/>
      <c r="B672" s="40"/>
      <c r="D672" s="40"/>
      <c r="I672" s="41"/>
      <c r="J672" s="40"/>
      <c r="K672" s="40"/>
      <c r="O672" s="25"/>
      <c r="R672" s="25"/>
      <c r="U672" s="40"/>
    </row>
    <row r="673">
      <c r="A673" s="40"/>
      <c r="B673" s="40"/>
      <c r="D673" s="40"/>
      <c r="I673" s="41"/>
      <c r="J673" s="40"/>
      <c r="K673" s="40"/>
      <c r="O673" s="25"/>
      <c r="R673" s="25"/>
      <c r="U673" s="40"/>
    </row>
    <row r="674">
      <c r="A674" s="40"/>
      <c r="B674" s="40"/>
      <c r="D674" s="40"/>
      <c r="I674" s="41"/>
      <c r="J674" s="40"/>
      <c r="K674" s="40"/>
      <c r="O674" s="25"/>
      <c r="R674" s="25"/>
      <c r="U674" s="40"/>
    </row>
    <row r="675">
      <c r="A675" s="40"/>
      <c r="B675" s="40"/>
      <c r="D675" s="40"/>
      <c r="I675" s="41"/>
      <c r="J675" s="40"/>
      <c r="K675" s="40"/>
      <c r="O675" s="25"/>
      <c r="R675" s="25"/>
      <c r="U675" s="40"/>
    </row>
    <row r="676">
      <c r="A676" s="40"/>
      <c r="B676" s="40"/>
      <c r="D676" s="40"/>
      <c r="I676" s="41"/>
      <c r="J676" s="40"/>
      <c r="K676" s="40"/>
      <c r="O676" s="25"/>
      <c r="R676" s="25"/>
      <c r="U676" s="40"/>
    </row>
    <row r="677">
      <c r="A677" s="40"/>
      <c r="B677" s="40"/>
      <c r="D677" s="40"/>
      <c r="I677" s="41"/>
      <c r="J677" s="40"/>
      <c r="K677" s="40"/>
      <c r="O677" s="25"/>
      <c r="R677" s="25"/>
      <c r="U677" s="40"/>
    </row>
    <row r="678">
      <c r="A678" s="40"/>
      <c r="B678" s="40"/>
      <c r="D678" s="40"/>
      <c r="I678" s="41"/>
      <c r="J678" s="40"/>
      <c r="K678" s="40"/>
      <c r="O678" s="25"/>
      <c r="R678" s="25"/>
      <c r="U678" s="40"/>
    </row>
    <row r="679">
      <c r="A679" s="40"/>
      <c r="B679" s="40"/>
      <c r="D679" s="40"/>
      <c r="I679" s="41"/>
      <c r="J679" s="40"/>
      <c r="K679" s="40"/>
      <c r="O679" s="25"/>
      <c r="R679" s="25"/>
      <c r="U679" s="40"/>
    </row>
    <row r="680">
      <c r="A680" s="40"/>
      <c r="B680" s="40"/>
      <c r="D680" s="40"/>
      <c r="I680" s="41"/>
      <c r="J680" s="40"/>
      <c r="K680" s="40"/>
      <c r="O680" s="25"/>
      <c r="R680" s="25"/>
      <c r="U680" s="40"/>
    </row>
    <row r="681">
      <c r="A681" s="40"/>
      <c r="B681" s="40"/>
      <c r="D681" s="40"/>
      <c r="I681" s="41"/>
      <c r="J681" s="40"/>
      <c r="K681" s="40"/>
      <c r="O681" s="25"/>
      <c r="R681" s="25"/>
      <c r="U681" s="40"/>
    </row>
    <row r="682">
      <c r="A682" s="40"/>
      <c r="B682" s="40"/>
      <c r="D682" s="40"/>
      <c r="I682" s="41"/>
      <c r="J682" s="40"/>
      <c r="K682" s="40"/>
      <c r="O682" s="25"/>
      <c r="R682" s="25"/>
      <c r="U682" s="40"/>
    </row>
    <row r="683">
      <c r="A683" s="40"/>
      <c r="B683" s="40"/>
      <c r="D683" s="40"/>
      <c r="I683" s="41"/>
      <c r="J683" s="40"/>
      <c r="K683" s="40"/>
      <c r="O683" s="25"/>
      <c r="R683" s="25"/>
      <c r="U683" s="40"/>
    </row>
    <row r="684">
      <c r="A684" s="40"/>
      <c r="B684" s="40"/>
      <c r="D684" s="40"/>
      <c r="I684" s="41"/>
      <c r="J684" s="40"/>
      <c r="K684" s="40"/>
      <c r="O684" s="25"/>
      <c r="R684" s="25"/>
      <c r="U684" s="40"/>
    </row>
    <row r="685">
      <c r="A685" s="40"/>
      <c r="B685" s="40"/>
      <c r="D685" s="40"/>
      <c r="I685" s="41"/>
      <c r="J685" s="40"/>
      <c r="K685" s="40"/>
      <c r="O685" s="25"/>
      <c r="R685" s="25"/>
      <c r="U685" s="40"/>
    </row>
    <row r="686">
      <c r="A686" s="40"/>
      <c r="B686" s="40"/>
      <c r="D686" s="40"/>
      <c r="I686" s="41"/>
      <c r="J686" s="40"/>
      <c r="K686" s="40"/>
      <c r="O686" s="25"/>
      <c r="R686" s="25"/>
      <c r="U686" s="40"/>
    </row>
    <row r="687">
      <c r="A687" s="40"/>
      <c r="B687" s="40"/>
      <c r="D687" s="40"/>
      <c r="I687" s="41"/>
      <c r="J687" s="40"/>
      <c r="K687" s="40"/>
      <c r="O687" s="25"/>
      <c r="R687" s="25"/>
      <c r="U687" s="40"/>
    </row>
    <row r="688">
      <c r="A688" s="40"/>
      <c r="B688" s="40"/>
      <c r="D688" s="40"/>
      <c r="I688" s="41"/>
      <c r="J688" s="40"/>
      <c r="K688" s="40"/>
      <c r="O688" s="25"/>
      <c r="R688" s="25"/>
      <c r="U688" s="40"/>
    </row>
    <row r="689">
      <c r="A689" s="40"/>
      <c r="B689" s="40"/>
      <c r="D689" s="40"/>
      <c r="I689" s="41"/>
      <c r="J689" s="40"/>
      <c r="K689" s="40"/>
      <c r="O689" s="25"/>
      <c r="R689" s="25"/>
      <c r="U689" s="40"/>
    </row>
    <row r="690">
      <c r="A690" s="40"/>
      <c r="B690" s="40"/>
      <c r="D690" s="40"/>
      <c r="I690" s="41"/>
      <c r="J690" s="40"/>
      <c r="K690" s="40"/>
      <c r="O690" s="25"/>
      <c r="R690" s="25"/>
      <c r="U690" s="40"/>
    </row>
    <row r="691">
      <c r="A691" s="40"/>
      <c r="B691" s="40"/>
      <c r="D691" s="40"/>
      <c r="I691" s="41"/>
      <c r="J691" s="40"/>
      <c r="K691" s="40"/>
      <c r="O691" s="25"/>
      <c r="R691" s="25"/>
      <c r="U691" s="40"/>
    </row>
    <row r="692">
      <c r="A692" s="40"/>
      <c r="B692" s="40"/>
      <c r="D692" s="40"/>
      <c r="I692" s="41"/>
      <c r="J692" s="40"/>
      <c r="K692" s="40"/>
      <c r="O692" s="25"/>
      <c r="R692" s="25"/>
      <c r="U692" s="40"/>
    </row>
    <row r="693">
      <c r="A693" s="40"/>
      <c r="B693" s="40"/>
      <c r="D693" s="40"/>
      <c r="I693" s="41"/>
      <c r="J693" s="40"/>
      <c r="K693" s="40"/>
      <c r="O693" s="25"/>
      <c r="R693" s="25"/>
      <c r="U693" s="40"/>
    </row>
    <row r="694">
      <c r="A694" s="40"/>
      <c r="B694" s="40"/>
      <c r="D694" s="40"/>
      <c r="I694" s="41"/>
      <c r="J694" s="40"/>
      <c r="K694" s="40"/>
      <c r="O694" s="25"/>
      <c r="R694" s="25"/>
      <c r="U694" s="40"/>
    </row>
    <row r="695">
      <c r="A695" s="40"/>
      <c r="B695" s="40"/>
      <c r="D695" s="40"/>
      <c r="I695" s="41"/>
      <c r="J695" s="40"/>
      <c r="K695" s="40"/>
      <c r="O695" s="25"/>
      <c r="R695" s="25"/>
      <c r="U695" s="40"/>
    </row>
    <row r="696">
      <c r="A696" s="40"/>
      <c r="B696" s="40"/>
      <c r="D696" s="40"/>
      <c r="I696" s="41"/>
      <c r="J696" s="40"/>
      <c r="K696" s="40"/>
      <c r="O696" s="25"/>
      <c r="R696" s="25"/>
      <c r="U696" s="40"/>
    </row>
    <row r="697">
      <c r="A697" s="40"/>
      <c r="B697" s="40"/>
      <c r="D697" s="40"/>
      <c r="I697" s="41"/>
      <c r="J697" s="40"/>
      <c r="K697" s="40"/>
      <c r="O697" s="25"/>
      <c r="R697" s="25"/>
      <c r="U697" s="40"/>
    </row>
    <row r="698">
      <c r="A698" s="40"/>
      <c r="B698" s="40"/>
      <c r="D698" s="40"/>
      <c r="I698" s="41"/>
      <c r="J698" s="40"/>
      <c r="K698" s="40"/>
      <c r="O698" s="25"/>
      <c r="R698" s="25"/>
      <c r="U698" s="40"/>
    </row>
    <row r="699">
      <c r="A699" s="40"/>
      <c r="B699" s="40"/>
      <c r="D699" s="40"/>
      <c r="I699" s="41"/>
      <c r="J699" s="40"/>
      <c r="K699" s="40"/>
      <c r="O699" s="25"/>
      <c r="R699" s="25"/>
      <c r="U699" s="40"/>
    </row>
    <row r="700">
      <c r="A700" s="40"/>
      <c r="B700" s="40"/>
      <c r="D700" s="40"/>
      <c r="I700" s="41"/>
      <c r="J700" s="40"/>
      <c r="K700" s="40"/>
      <c r="O700" s="25"/>
      <c r="R700" s="25"/>
      <c r="U700" s="40"/>
    </row>
    <row r="701">
      <c r="A701" s="40"/>
      <c r="B701" s="40"/>
      <c r="D701" s="40"/>
      <c r="I701" s="41"/>
      <c r="J701" s="40"/>
      <c r="K701" s="40"/>
      <c r="O701" s="25"/>
      <c r="R701" s="25"/>
      <c r="U701" s="40"/>
    </row>
    <row r="702">
      <c r="A702" s="40"/>
      <c r="B702" s="40"/>
      <c r="D702" s="40"/>
      <c r="I702" s="41"/>
      <c r="J702" s="40"/>
      <c r="K702" s="40"/>
      <c r="O702" s="25"/>
      <c r="R702" s="25"/>
      <c r="U702" s="40"/>
    </row>
    <row r="703">
      <c r="A703" s="40"/>
      <c r="B703" s="40"/>
      <c r="D703" s="40"/>
      <c r="I703" s="41"/>
      <c r="J703" s="40"/>
      <c r="K703" s="40"/>
      <c r="O703" s="25"/>
      <c r="R703" s="25"/>
      <c r="U703" s="40"/>
    </row>
    <row r="704">
      <c r="A704" s="40"/>
      <c r="B704" s="40"/>
      <c r="D704" s="40"/>
      <c r="I704" s="41"/>
      <c r="J704" s="40"/>
      <c r="K704" s="40"/>
      <c r="O704" s="25"/>
      <c r="R704" s="25"/>
      <c r="U704" s="40"/>
    </row>
    <row r="705">
      <c r="A705" s="40"/>
      <c r="B705" s="40"/>
      <c r="D705" s="40"/>
      <c r="I705" s="41"/>
      <c r="J705" s="40"/>
      <c r="K705" s="40"/>
      <c r="O705" s="25"/>
      <c r="R705" s="25"/>
      <c r="U705" s="40"/>
    </row>
    <row r="706">
      <c r="A706" s="40"/>
      <c r="B706" s="40"/>
      <c r="D706" s="40"/>
      <c r="I706" s="41"/>
      <c r="J706" s="40"/>
      <c r="K706" s="40"/>
      <c r="O706" s="25"/>
      <c r="R706" s="25"/>
      <c r="U706" s="40"/>
    </row>
    <row r="707">
      <c r="A707" s="40"/>
      <c r="B707" s="40"/>
      <c r="D707" s="40"/>
      <c r="I707" s="41"/>
      <c r="J707" s="40"/>
      <c r="K707" s="40"/>
      <c r="O707" s="25"/>
      <c r="R707" s="25"/>
      <c r="U707" s="40"/>
    </row>
    <row r="708">
      <c r="A708" s="40"/>
      <c r="B708" s="40"/>
      <c r="D708" s="40"/>
      <c r="I708" s="41"/>
      <c r="J708" s="40"/>
      <c r="K708" s="40"/>
      <c r="O708" s="25"/>
      <c r="R708" s="25"/>
      <c r="U708" s="40"/>
    </row>
    <row r="709">
      <c r="A709" s="40"/>
      <c r="B709" s="40"/>
      <c r="D709" s="40"/>
      <c r="I709" s="41"/>
      <c r="J709" s="40"/>
      <c r="K709" s="40"/>
      <c r="O709" s="25"/>
      <c r="R709" s="25"/>
      <c r="U709" s="40"/>
    </row>
    <row r="710">
      <c r="A710" s="40"/>
      <c r="B710" s="40"/>
      <c r="D710" s="40"/>
      <c r="I710" s="41"/>
      <c r="J710" s="40"/>
      <c r="K710" s="40"/>
      <c r="O710" s="25"/>
      <c r="R710" s="25"/>
      <c r="U710" s="40"/>
    </row>
    <row r="711">
      <c r="A711" s="40"/>
      <c r="B711" s="40"/>
      <c r="D711" s="40"/>
      <c r="I711" s="41"/>
      <c r="J711" s="40"/>
      <c r="K711" s="40"/>
      <c r="O711" s="25"/>
      <c r="R711" s="25"/>
      <c r="U711" s="40"/>
    </row>
    <row r="712">
      <c r="A712" s="40"/>
      <c r="B712" s="40"/>
      <c r="D712" s="40"/>
      <c r="I712" s="41"/>
      <c r="J712" s="40"/>
      <c r="K712" s="40"/>
      <c r="O712" s="25"/>
      <c r="R712" s="25"/>
      <c r="U712" s="40"/>
    </row>
    <row r="713">
      <c r="A713" s="40"/>
      <c r="B713" s="40"/>
      <c r="D713" s="40"/>
      <c r="I713" s="41"/>
      <c r="J713" s="40"/>
      <c r="K713" s="40"/>
      <c r="O713" s="25"/>
      <c r="R713" s="25"/>
      <c r="U713" s="40"/>
    </row>
    <row r="714">
      <c r="A714" s="40"/>
      <c r="B714" s="40"/>
      <c r="D714" s="40"/>
      <c r="I714" s="41"/>
      <c r="J714" s="40"/>
      <c r="K714" s="40"/>
      <c r="O714" s="25"/>
      <c r="R714" s="25"/>
      <c r="U714" s="40"/>
    </row>
    <row r="715">
      <c r="A715" s="40"/>
      <c r="B715" s="40"/>
      <c r="D715" s="40"/>
      <c r="I715" s="41"/>
      <c r="J715" s="40"/>
      <c r="K715" s="40"/>
      <c r="O715" s="25"/>
      <c r="R715" s="25"/>
      <c r="U715" s="40"/>
    </row>
    <row r="716">
      <c r="A716" s="40"/>
      <c r="B716" s="40"/>
      <c r="D716" s="40"/>
      <c r="I716" s="41"/>
      <c r="J716" s="40"/>
      <c r="K716" s="40"/>
      <c r="O716" s="25"/>
      <c r="R716" s="25"/>
      <c r="U716" s="40"/>
    </row>
    <row r="717">
      <c r="A717" s="40"/>
      <c r="B717" s="40"/>
      <c r="D717" s="40"/>
      <c r="I717" s="41"/>
      <c r="J717" s="40"/>
      <c r="K717" s="40"/>
      <c r="O717" s="25"/>
      <c r="R717" s="25"/>
      <c r="U717" s="40"/>
    </row>
    <row r="718">
      <c r="A718" s="40"/>
      <c r="B718" s="40"/>
      <c r="D718" s="40"/>
      <c r="I718" s="41"/>
      <c r="J718" s="40"/>
      <c r="K718" s="40"/>
      <c r="O718" s="25"/>
      <c r="R718" s="25"/>
      <c r="U718" s="40"/>
    </row>
    <row r="719">
      <c r="A719" s="40"/>
      <c r="B719" s="40"/>
      <c r="D719" s="40"/>
      <c r="I719" s="41"/>
      <c r="J719" s="40"/>
      <c r="K719" s="40"/>
      <c r="O719" s="25"/>
      <c r="R719" s="25"/>
      <c r="U719" s="40"/>
    </row>
    <row r="720">
      <c r="A720" s="40"/>
      <c r="B720" s="40"/>
      <c r="D720" s="40"/>
      <c r="I720" s="41"/>
      <c r="J720" s="40"/>
      <c r="K720" s="40"/>
      <c r="O720" s="25"/>
      <c r="R720" s="25"/>
      <c r="U720" s="40"/>
    </row>
    <row r="721">
      <c r="A721" s="40"/>
      <c r="B721" s="40"/>
      <c r="D721" s="40"/>
      <c r="I721" s="41"/>
      <c r="J721" s="40"/>
      <c r="K721" s="40"/>
      <c r="O721" s="25"/>
      <c r="R721" s="25"/>
      <c r="U721" s="40"/>
    </row>
    <row r="722">
      <c r="A722" s="40"/>
      <c r="B722" s="40"/>
      <c r="D722" s="40"/>
      <c r="I722" s="41"/>
      <c r="J722" s="40"/>
      <c r="K722" s="40"/>
      <c r="O722" s="25"/>
      <c r="R722" s="25"/>
      <c r="U722" s="40"/>
    </row>
    <row r="723">
      <c r="A723" s="40"/>
      <c r="B723" s="40"/>
      <c r="D723" s="40"/>
      <c r="I723" s="41"/>
      <c r="J723" s="40"/>
      <c r="K723" s="40"/>
      <c r="O723" s="25"/>
      <c r="R723" s="25"/>
      <c r="U723" s="40"/>
    </row>
    <row r="724">
      <c r="A724" s="40"/>
      <c r="B724" s="40"/>
      <c r="D724" s="40"/>
      <c r="I724" s="41"/>
      <c r="J724" s="40"/>
      <c r="K724" s="40"/>
      <c r="O724" s="25"/>
      <c r="R724" s="25"/>
      <c r="U724" s="40"/>
    </row>
    <row r="725">
      <c r="A725" s="40"/>
      <c r="B725" s="40"/>
      <c r="D725" s="40"/>
      <c r="I725" s="41"/>
      <c r="J725" s="40"/>
      <c r="K725" s="40"/>
      <c r="O725" s="25"/>
      <c r="R725" s="25"/>
      <c r="U725" s="40"/>
    </row>
    <row r="726">
      <c r="A726" s="40"/>
      <c r="B726" s="40"/>
      <c r="D726" s="40"/>
      <c r="I726" s="41"/>
      <c r="J726" s="40"/>
      <c r="K726" s="40"/>
      <c r="O726" s="25"/>
      <c r="R726" s="25"/>
      <c r="U726" s="40"/>
    </row>
    <row r="727">
      <c r="A727" s="40"/>
      <c r="B727" s="40"/>
      <c r="D727" s="40"/>
      <c r="I727" s="41"/>
      <c r="J727" s="40"/>
      <c r="K727" s="40"/>
      <c r="O727" s="25"/>
      <c r="R727" s="25"/>
      <c r="U727" s="40"/>
    </row>
    <row r="728">
      <c r="A728" s="40"/>
      <c r="B728" s="40"/>
      <c r="D728" s="40"/>
      <c r="I728" s="41"/>
      <c r="J728" s="40"/>
      <c r="K728" s="40"/>
      <c r="O728" s="25"/>
      <c r="R728" s="25"/>
      <c r="U728" s="40"/>
    </row>
    <row r="729">
      <c r="A729" s="40"/>
      <c r="B729" s="40"/>
      <c r="D729" s="40"/>
      <c r="I729" s="41"/>
      <c r="J729" s="40"/>
      <c r="K729" s="40"/>
      <c r="O729" s="25"/>
      <c r="R729" s="25"/>
      <c r="U729" s="40"/>
    </row>
    <row r="730">
      <c r="A730" s="40"/>
      <c r="B730" s="40"/>
      <c r="D730" s="40"/>
      <c r="I730" s="41"/>
      <c r="J730" s="40"/>
      <c r="K730" s="40"/>
      <c r="O730" s="25"/>
      <c r="R730" s="25"/>
      <c r="U730" s="40"/>
    </row>
    <row r="731">
      <c r="A731" s="40"/>
      <c r="B731" s="40"/>
      <c r="D731" s="40"/>
      <c r="I731" s="41"/>
      <c r="J731" s="40"/>
      <c r="K731" s="40"/>
      <c r="O731" s="25"/>
      <c r="R731" s="25"/>
      <c r="U731" s="40"/>
    </row>
    <row r="732">
      <c r="A732" s="40"/>
      <c r="B732" s="40"/>
      <c r="D732" s="40"/>
      <c r="I732" s="41"/>
      <c r="J732" s="40"/>
      <c r="K732" s="40"/>
      <c r="O732" s="25"/>
      <c r="R732" s="25"/>
      <c r="U732" s="40"/>
    </row>
    <row r="733">
      <c r="A733" s="40"/>
      <c r="B733" s="40"/>
      <c r="D733" s="40"/>
      <c r="I733" s="41"/>
      <c r="J733" s="40"/>
      <c r="K733" s="40"/>
      <c r="O733" s="25"/>
      <c r="R733" s="25"/>
      <c r="U733" s="40"/>
    </row>
    <row r="734">
      <c r="A734" s="40"/>
      <c r="B734" s="40"/>
      <c r="D734" s="40"/>
      <c r="I734" s="41"/>
      <c r="J734" s="40"/>
      <c r="K734" s="40"/>
      <c r="O734" s="25"/>
      <c r="R734" s="25"/>
      <c r="U734" s="40"/>
    </row>
    <row r="735">
      <c r="A735" s="40"/>
      <c r="B735" s="40"/>
      <c r="D735" s="40"/>
      <c r="I735" s="41"/>
      <c r="J735" s="40"/>
      <c r="K735" s="40"/>
      <c r="O735" s="25"/>
      <c r="R735" s="25"/>
      <c r="U735" s="40"/>
    </row>
    <row r="736">
      <c r="A736" s="40"/>
      <c r="B736" s="40"/>
      <c r="D736" s="40"/>
      <c r="I736" s="41"/>
      <c r="J736" s="40"/>
      <c r="K736" s="40"/>
      <c r="O736" s="25"/>
      <c r="R736" s="25"/>
      <c r="U736" s="40"/>
    </row>
    <row r="737">
      <c r="A737" s="40"/>
      <c r="B737" s="40"/>
      <c r="D737" s="40"/>
      <c r="I737" s="41"/>
      <c r="J737" s="40"/>
      <c r="K737" s="40"/>
      <c r="O737" s="25"/>
      <c r="R737" s="25"/>
      <c r="U737" s="40"/>
    </row>
    <row r="738">
      <c r="A738" s="40"/>
      <c r="B738" s="40"/>
      <c r="D738" s="40"/>
      <c r="I738" s="41"/>
      <c r="J738" s="40"/>
      <c r="K738" s="40"/>
      <c r="O738" s="25"/>
      <c r="R738" s="25"/>
      <c r="U738" s="40"/>
    </row>
    <row r="739">
      <c r="A739" s="40"/>
      <c r="B739" s="40"/>
      <c r="D739" s="40"/>
      <c r="I739" s="41"/>
      <c r="J739" s="40"/>
      <c r="K739" s="40"/>
      <c r="O739" s="25"/>
      <c r="R739" s="25"/>
      <c r="U739" s="40"/>
    </row>
    <row r="740">
      <c r="A740" s="40"/>
      <c r="B740" s="40"/>
      <c r="D740" s="40"/>
      <c r="I740" s="41"/>
      <c r="J740" s="40"/>
      <c r="K740" s="40"/>
      <c r="O740" s="25"/>
      <c r="R740" s="25"/>
      <c r="U740" s="40"/>
    </row>
    <row r="741">
      <c r="A741" s="40"/>
      <c r="B741" s="40"/>
      <c r="D741" s="40"/>
      <c r="I741" s="41"/>
      <c r="J741" s="40"/>
      <c r="K741" s="40"/>
      <c r="O741" s="25"/>
      <c r="R741" s="25"/>
      <c r="U741" s="40"/>
    </row>
    <row r="742">
      <c r="A742" s="40"/>
      <c r="B742" s="40"/>
      <c r="D742" s="40"/>
      <c r="I742" s="41"/>
      <c r="J742" s="40"/>
      <c r="K742" s="40"/>
      <c r="O742" s="25"/>
      <c r="R742" s="25"/>
      <c r="U742" s="40"/>
    </row>
    <row r="743">
      <c r="A743" s="40"/>
      <c r="B743" s="40"/>
      <c r="D743" s="40"/>
      <c r="I743" s="41"/>
      <c r="J743" s="40"/>
      <c r="K743" s="40"/>
      <c r="O743" s="25"/>
      <c r="R743" s="25"/>
      <c r="U743" s="40"/>
    </row>
    <row r="744">
      <c r="A744" s="40"/>
      <c r="B744" s="40"/>
      <c r="D744" s="40"/>
      <c r="I744" s="41"/>
      <c r="J744" s="40"/>
      <c r="K744" s="40"/>
      <c r="O744" s="25"/>
      <c r="R744" s="25"/>
      <c r="U744" s="40"/>
    </row>
    <row r="745">
      <c r="A745" s="40"/>
      <c r="B745" s="40"/>
      <c r="D745" s="40"/>
      <c r="I745" s="41"/>
      <c r="J745" s="40"/>
      <c r="K745" s="40"/>
      <c r="O745" s="25"/>
      <c r="R745" s="25"/>
      <c r="U745" s="40"/>
    </row>
    <row r="746">
      <c r="A746" s="40"/>
      <c r="B746" s="40"/>
      <c r="D746" s="40"/>
      <c r="I746" s="41"/>
      <c r="J746" s="40"/>
      <c r="K746" s="40"/>
      <c r="O746" s="25"/>
      <c r="R746" s="25"/>
      <c r="U746" s="40"/>
    </row>
    <row r="747">
      <c r="A747" s="40"/>
      <c r="B747" s="40"/>
      <c r="D747" s="40"/>
      <c r="I747" s="41"/>
      <c r="J747" s="40"/>
      <c r="K747" s="40"/>
      <c r="O747" s="25"/>
      <c r="R747" s="25"/>
      <c r="U747" s="40"/>
    </row>
    <row r="748">
      <c r="A748" s="40"/>
      <c r="B748" s="40"/>
      <c r="D748" s="40"/>
      <c r="I748" s="41"/>
      <c r="J748" s="40"/>
      <c r="K748" s="40"/>
      <c r="O748" s="25"/>
      <c r="R748" s="25"/>
      <c r="U748" s="40"/>
    </row>
    <row r="749">
      <c r="A749" s="40"/>
      <c r="B749" s="40"/>
      <c r="D749" s="40"/>
      <c r="I749" s="41"/>
      <c r="J749" s="40"/>
      <c r="K749" s="40"/>
      <c r="O749" s="25"/>
      <c r="R749" s="25"/>
      <c r="U749" s="40"/>
    </row>
    <row r="750">
      <c r="A750" s="40"/>
      <c r="B750" s="40"/>
      <c r="D750" s="40"/>
      <c r="I750" s="41"/>
      <c r="J750" s="40"/>
      <c r="K750" s="40"/>
      <c r="O750" s="25"/>
      <c r="R750" s="25"/>
      <c r="U750" s="40"/>
    </row>
    <row r="751">
      <c r="A751" s="40"/>
      <c r="B751" s="40"/>
      <c r="D751" s="40"/>
      <c r="I751" s="41"/>
      <c r="J751" s="40"/>
      <c r="K751" s="40"/>
      <c r="O751" s="25"/>
      <c r="R751" s="25"/>
      <c r="U751" s="40"/>
    </row>
    <row r="752">
      <c r="A752" s="40"/>
      <c r="B752" s="40"/>
      <c r="D752" s="40"/>
      <c r="I752" s="41"/>
      <c r="J752" s="40"/>
      <c r="K752" s="40"/>
      <c r="O752" s="25"/>
      <c r="R752" s="25"/>
      <c r="U752" s="40"/>
    </row>
    <row r="753">
      <c r="A753" s="40"/>
      <c r="B753" s="40"/>
      <c r="D753" s="40"/>
      <c r="I753" s="41"/>
      <c r="J753" s="40"/>
      <c r="K753" s="40"/>
      <c r="O753" s="25"/>
      <c r="R753" s="25"/>
      <c r="U753" s="40"/>
    </row>
    <row r="754">
      <c r="A754" s="40"/>
      <c r="B754" s="40"/>
      <c r="D754" s="40"/>
      <c r="I754" s="41"/>
      <c r="J754" s="40"/>
      <c r="K754" s="40"/>
      <c r="O754" s="25"/>
      <c r="R754" s="25"/>
      <c r="U754" s="40"/>
    </row>
    <row r="755">
      <c r="A755" s="40"/>
      <c r="B755" s="40"/>
      <c r="D755" s="40"/>
      <c r="I755" s="41"/>
      <c r="J755" s="40"/>
      <c r="K755" s="40"/>
      <c r="O755" s="25"/>
      <c r="R755" s="25"/>
      <c r="U755" s="40"/>
    </row>
    <row r="756">
      <c r="A756" s="40"/>
      <c r="B756" s="40"/>
      <c r="D756" s="40"/>
      <c r="I756" s="41"/>
      <c r="J756" s="40"/>
      <c r="K756" s="40"/>
      <c r="O756" s="25"/>
      <c r="R756" s="25"/>
      <c r="U756" s="40"/>
    </row>
    <row r="757">
      <c r="A757" s="40"/>
      <c r="B757" s="40"/>
      <c r="D757" s="40"/>
      <c r="I757" s="41"/>
      <c r="J757" s="40"/>
      <c r="K757" s="40"/>
      <c r="O757" s="25"/>
      <c r="R757" s="25"/>
      <c r="U757" s="40"/>
    </row>
    <row r="758">
      <c r="A758" s="40"/>
      <c r="B758" s="40"/>
      <c r="D758" s="40"/>
      <c r="I758" s="41"/>
      <c r="J758" s="40"/>
      <c r="K758" s="40"/>
      <c r="O758" s="25"/>
      <c r="R758" s="25"/>
      <c r="U758" s="40"/>
    </row>
    <row r="759">
      <c r="A759" s="40"/>
      <c r="B759" s="40"/>
      <c r="D759" s="40"/>
      <c r="I759" s="41"/>
      <c r="J759" s="40"/>
      <c r="K759" s="40"/>
      <c r="O759" s="25"/>
      <c r="R759" s="25"/>
      <c r="U759" s="40"/>
    </row>
    <row r="760">
      <c r="A760" s="40"/>
      <c r="B760" s="40"/>
      <c r="D760" s="40"/>
      <c r="I760" s="41"/>
      <c r="J760" s="40"/>
      <c r="K760" s="40"/>
      <c r="O760" s="25"/>
      <c r="R760" s="25"/>
      <c r="U760" s="40"/>
    </row>
    <row r="761">
      <c r="A761" s="40"/>
      <c r="B761" s="40"/>
      <c r="D761" s="40"/>
      <c r="I761" s="41"/>
      <c r="J761" s="40"/>
      <c r="K761" s="40"/>
      <c r="O761" s="25"/>
      <c r="R761" s="25"/>
      <c r="U761" s="40"/>
    </row>
    <row r="762">
      <c r="A762" s="40"/>
      <c r="B762" s="40"/>
      <c r="D762" s="40"/>
      <c r="I762" s="41"/>
      <c r="J762" s="40"/>
      <c r="K762" s="40"/>
      <c r="O762" s="25"/>
      <c r="R762" s="25"/>
      <c r="U762" s="40"/>
    </row>
    <row r="763">
      <c r="A763" s="40"/>
      <c r="B763" s="40"/>
      <c r="D763" s="40"/>
      <c r="I763" s="41"/>
      <c r="J763" s="40"/>
      <c r="K763" s="40"/>
      <c r="O763" s="25"/>
      <c r="R763" s="25"/>
      <c r="U763" s="40"/>
    </row>
    <row r="764">
      <c r="A764" s="40"/>
      <c r="B764" s="40"/>
      <c r="D764" s="40"/>
      <c r="I764" s="41"/>
      <c r="J764" s="40"/>
      <c r="K764" s="40"/>
      <c r="O764" s="25"/>
      <c r="R764" s="25"/>
      <c r="U764" s="40"/>
    </row>
    <row r="765">
      <c r="A765" s="40"/>
      <c r="B765" s="40"/>
      <c r="D765" s="40"/>
      <c r="I765" s="41"/>
      <c r="J765" s="40"/>
      <c r="K765" s="40"/>
      <c r="O765" s="25"/>
      <c r="R765" s="25"/>
      <c r="U765" s="40"/>
    </row>
    <row r="766">
      <c r="A766" s="40"/>
      <c r="B766" s="40"/>
      <c r="D766" s="40"/>
      <c r="I766" s="41"/>
      <c r="J766" s="40"/>
      <c r="K766" s="40"/>
      <c r="O766" s="25"/>
      <c r="R766" s="25"/>
      <c r="U766" s="40"/>
    </row>
    <row r="767">
      <c r="A767" s="40"/>
      <c r="B767" s="40"/>
      <c r="D767" s="40"/>
      <c r="I767" s="41"/>
      <c r="J767" s="40"/>
      <c r="K767" s="40"/>
      <c r="O767" s="25"/>
      <c r="R767" s="25"/>
      <c r="U767" s="40"/>
    </row>
    <row r="768">
      <c r="A768" s="40"/>
      <c r="B768" s="40"/>
      <c r="D768" s="40"/>
      <c r="I768" s="41"/>
      <c r="J768" s="40"/>
      <c r="K768" s="40"/>
      <c r="O768" s="25"/>
      <c r="R768" s="25"/>
      <c r="U768" s="40"/>
    </row>
    <row r="769">
      <c r="A769" s="40"/>
      <c r="B769" s="40"/>
      <c r="D769" s="40"/>
      <c r="I769" s="41"/>
      <c r="J769" s="40"/>
      <c r="K769" s="40"/>
      <c r="O769" s="25"/>
      <c r="R769" s="25"/>
      <c r="U769" s="40"/>
    </row>
    <row r="770">
      <c r="A770" s="40"/>
      <c r="B770" s="40"/>
      <c r="D770" s="40"/>
      <c r="I770" s="41"/>
      <c r="J770" s="40"/>
      <c r="K770" s="40"/>
      <c r="O770" s="25"/>
      <c r="R770" s="25"/>
      <c r="U770" s="40"/>
    </row>
    <row r="771">
      <c r="A771" s="40"/>
      <c r="B771" s="40"/>
      <c r="D771" s="40"/>
      <c r="I771" s="41"/>
      <c r="J771" s="40"/>
      <c r="K771" s="40"/>
      <c r="O771" s="25"/>
      <c r="R771" s="25"/>
      <c r="U771" s="40"/>
    </row>
    <row r="772">
      <c r="A772" s="40"/>
      <c r="B772" s="40"/>
      <c r="D772" s="40"/>
      <c r="I772" s="41"/>
      <c r="J772" s="40"/>
      <c r="K772" s="40"/>
      <c r="O772" s="25"/>
      <c r="R772" s="25"/>
      <c r="U772" s="40"/>
    </row>
    <row r="773">
      <c r="A773" s="40"/>
      <c r="B773" s="40"/>
      <c r="D773" s="40"/>
      <c r="I773" s="41"/>
      <c r="J773" s="40"/>
      <c r="K773" s="40"/>
      <c r="O773" s="25"/>
      <c r="R773" s="25"/>
      <c r="U773" s="40"/>
    </row>
    <row r="774">
      <c r="A774" s="40"/>
      <c r="B774" s="40"/>
      <c r="D774" s="40"/>
      <c r="I774" s="41"/>
      <c r="J774" s="40"/>
      <c r="K774" s="40"/>
      <c r="O774" s="25"/>
      <c r="R774" s="25"/>
      <c r="U774" s="40"/>
    </row>
    <row r="775">
      <c r="A775" s="40"/>
      <c r="B775" s="40"/>
      <c r="D775" s="40"/>
      <c r="I775" s="41"/>
      <c r="J775" s="40"/>
      <c r="K775" s="40"/>
      <c r="O775" s="25"/>
      <c r="R775" s="25"/>
      <c r="U775" s="40"/>
    </row>
    <row r="776">
      <c r="A776" s="40"/>
      <c r="B776" s="40"/>
      <c r="D776" s="40"/>
      <c r="I776" s="41"/>
      <c r="J776" s="40"/>
      <c r="K776" s="40"/>
      <c r="O776" s="25"/>
      <c r="R776" s="25"/>
      <c r="U776" s="40"/>
    </row>
    <row r="777">
      <c r="A777" s="40"/>
      <c r="B777" s="40"/>
      <c r="D777" s="40"/>
      <c r="I777" s="41"/>
      <c r="J777" s="40"/>
      <c r="K777" s="40"/>
      <c r="O777" s="25"/>
      <c r="R777" s="25"/>
      <c r="U777" s="40"/>
    </row>
    <row r="778">
      <c r="A778" s="40"/>
      <c r="B778" s="40"/>
      <c r="D778" s="40"/>
      <c r="I778" s="41"/>
      <c r="J778" s="40"/>
      <c r="K778" s="40"/>
      <c r="O778" s="25"/>
      <c r="R778" s="25"/>
      <c r="U778" s="40"/>
    </row>
    <row r="779">
      <c r="A779" s="40"/>
      <c r="B779" s="40"/>
      <c r="D779" s="40"/>
      <c r="I779" s="41"/>
      <c r="J779" s="40"/>
      <c r="K779" s="40"/>
      <c r="O779" s="25"/>
      <c r="R779" s="25"/>
      <c r="U779" s="40"/>
    </row>
    <row r="780">
      <c r="A780" s="40"/>
      <c r="B780" s="40"/>
      <c r="D780" s="40"/>
      <c r="I780" s="41"/>
      <c r="J780" s="40"/>
      <c r="K780" s="40"/>
      <c r="O780" s="25"/>
      <c r="R780" s="25"/>
      <c r="U780" s="40"/>
    </row>
    <row r="781">
      <c r="A781" s="40"/>
      <c r="B781" s="40"/>
      <c r="D781" s="40"/>
      <c r="I781" s="41"/>
      <c r="J781" s="40"/>
      <c r="K781" s="40"/>
      <c r="O781" s="25"/>
      <c r="R781" s="25"/>
      <c r="U781" s="40"/>
    </row>
    <row r="782">
      <c r="A782" s="40"/>
      <c r="B782" s="40"/>
      <c r="D782" s="40"/>
      <c r="I782" s="41"/>
      <c r="J782" s="40"/>
      <c r="K782" s="40"/>
      <c r="O782" s="25"/>
      <c r="R782" s="25"/>
      <c r="U782" s="40"/>
    </row>
    <row r="783">
      <c r="A783" s="40"/>
      <c r="B783" s="40"/>
      <c r="D783" s="40"/>
      <c r="I783" s="41"/>
      <c r="J783" s="40"/>
      <c r="K783" s="40"/>
      <c r="O783" s="25"/>
      <c r="R783" s="25"/>
      <c r="U783" s="40"/>
    </row>
    <row r="784">
      <c r="A784" s="40"/>
      <c r="B784" s="40"/>
      <c r="D784" s="40"/>
      <c r="I784" s="41"/>
      <c r="J784" s="40"/>
      <c r="K784" s="40"/>
      <c r="O784" s="25"/>
      <c r="R784" s="25"/>
      <c r="U784" s="40"/>
    </row>
    <row r="785">
      <c r="A785" s="40"/>
      <c r="B785" s="40"/>
      <c r="D785" s="40"/>
      <c r="I785" s="41"/>
      <c r="J785" s="40"/>
      <c r="K785" s="40"/>
      <c r="O785" s="25"/>
      <c r="R785" s="25"/>
      <c r="U785" s="40"/>
    </row>
    <row r="786">
      <c r="A786" s="40"/>
      <c r="B786" s="40"/>
      <c r="D786" s="40"/>
      <c r="I786" s="41"/>
      <c r="J786" s="40"/>
      <c r="K786" s="40"/>
      <c r="O786" s="25"/>
      <c r="R786" s="25"/>
      <c r="U786" s="40"/>
    </row>
    <row r="787">
      <c r="A787" s="40"/>
      <c r="B787" s="40"/>
      <c r="D787" s="40"/>
      <c r="I787" s="41"/>
      <c r="J787" s="40"/>
      <c r="K787" s="40"/>
      <c r="O787" s="25"/>
      <c r="R787" s="25"/>
      <c r="U787" s="40"/>
    </row>
    <row r="788">
      <c r="A788" s="40"/>
      <c r="B788" s="40"/>
      <c r="D788" s="40"/>
      <c r="I788" s="41"/>
      <c r="J788" s="40"/>
      <c r="K788" s="40"/>
      <c r="O788" s="25"/>
      <c r="R788" s="25"/>
      <c r="U788" s="40"/>
    </row>
    <row r="789">
      <c r="A789" s="40"/>
      <c r="B789" s="40"/>
      <c r="D789" s="40"/>
      <c r="I789" s="41"/>
      <c r="J789" s="40"/>
      <c r="K789" s="40"/>
      <c r="O789" s="25"/>
      <c r="R789" s="25"/>
      <c r="U789" s="40"/>
    </row>
    <row r="790">
      <c r="A790" s="40"/>
      <c r="B790" s="40"/>
      <c r="D790" s="40"/>
      <c r="I790" s="41"/>
      <c r="J790" s="40"/>
      <c r="K790" s="40"/>
      <c r="O790" s="25"/>
      <c r="R790" s="25"/>
      <c r="U790" s="40"/>
    </row>
    <row r="791">
      <c r="A791" s="40"/>
      <c r="B791" s="40"/>
      <c r="D791" s="40"/>
      <c r="I791" s="41"/>
      <c r="J791" s="40"/>
      <c r="K791" s="40"/>
      <c r="O791" s="25"/>
      <c r="R791" s="25"/>
      <c r="U791" s="40"/>
    </row>
    <row r="792">
      <c r="A792" s="40"/>
      <c r="B792" s="40"/>
      <c r="D792" s="40"/>
      <c r="I792" s="41"/>
      <c r="J792" s="40"/>
      <c r="K792" s="40"/>
      <c r="O792" s="25"/>
      <c r="R792" s="25"/>
      <c r="U792" s="40"/>
    </row>
    <row r="793">
      <c r="A793" s="40"/>
      <c r="B793" s="40"/>
      <c r="D793" s="40"/>
      <c r="I793" s="41"/>
      <c r="J793" s="40"/>
      <c r="K793" s="40"/>
      <c r="O793" s="25"/>
      <c r="R793" s="25"/>
      <c r="U793" s="40"/>
    </row>
    <row r="794">
      <c r="A794" s="40"/>
      <c r="B794" s="40"/>
      <c r="D794" s="40"/>
      <c r="I794" s="41"/>
      <c r="J794" s="40"/>
      <c r="K794" s="40"/>
      <c r="O794" s="25"/>
      <c r="R794" s="25"/>
      <c r="U794" s="40"/>
    </row>
    <row r="795">
      <c r="A795" s="40"/>
      <c r="B795" s="40"/>
      <c r="D795" s="40"/>
      <c r="I795" s="41"/>
      <c r="J795" s="40"/>
      <c r="K795" s="40"/>
      <c r="O795" s="25"/>
      <c r="R795" s="25"/>
      <c r="U795" s="40"/>
    </row>
    <row r="796">
      <c r="A796" s="40"/>
      <c r="B796" s="40"/>
      <c r="D796" s="40"/>
      <c r="I796" s="41"/>
      <c r="J796" s="40"/>
      <c r="K796" s="40"/>
      <c r="O796" s="25"/>
      <c r="R796" s="25"/>
      <c r="U796" s="40"/>
    </row>
    <row r="797">
      <c r="A797" s="40"/>
      <c r="B797" s="40"/>
      <c r="D797" s="40"/>
      <c r="I797" s="41"/>
      <c r="J797" s="40"/>
      <c r="K797" s="40"/>
      <c r="O797" s="25"/>
      <c r="R797" s="25"/>
      <c r="U797" s="40"/>
    </row>
    <row r="798">
      <c r="A798" s="40"/>
      <c r="B798" s="40"/>
      <c r="D798" s="40"/>
      <c r="I798" s="41"/>
      <c r="J798" s="40"/>
      <c r="K798" s="40"/>
      <c r="O798" s="25"/>
      <c r="R798" s="25"/>
      <c r="U798" s="40"/>
    </row>
    <row r="799">
      <c r="A799" s="40"/>
      <c r="B799" s="40"/>
      <c r="D799" s="40"/>
      <c r="I799" s="41"/>
      <c r="J799" s="40"/>
      <c r="K799" s="40"/>
      <c r="O799" s="25"/>
      <c r="R799" s="25"/>
      <c r="U799" s="40"/>
    </row>
    <row r="800">
      <c r="A800" s="40"/>
      <c r="B800" s="40"/>
      <c r="D800" s="40"/>
      <c r="I800" s="41"/>
      <c r="J800" s="40"/>
      <c r="K800" s="40"/>
      <c r="O800" s="25"/>
      <c r="R800" s="25"/>
      <c r="U800" s="40"/>
    </row>
    <row r="801">
      <c r="A801" s="40"/>
      <c r="B801" s="40"/>
      <c r="D801" s="40"/>
      <c r="I801" s="41"/>
      <c r="J801" s="40"/>
      <c r="K801" s="40"/>
      <c r="O801" s="25"/>
      <c r="R801" s="25"/>
      <c r="U801" s="40"/>
    </row>
    <row r="802">
      <c r="A802" s="40"/>
      <c r="B802" s="40"/>
      <c r="D802" s="40"/>
      <c r="I802" s="41"/>
      <c r="J802" s="40"/>
      <c r="K802" s="40"/>
      <c r="O802" s="25"/>
      <c r="R802" s="25"/>
      <c r="U802" s="40"/>
    </row>
    <row r="803">
      <c r="A803" s="40"/>
      <c r="B803" s="40"/>
      <c r="D803" s="40"/>
      <c r="I803" s="41"/>
      <c r="J803" s="40"/>
      <c r="K803" s="40"/>
      <c r="O803" s="25"/>
      <c r="R803" s="25"/>
      <c r="U803" s="40"/>
    </row>
    <row r="804">
      <c r="A804" s="40"/>
      <c r="B804" s="40"/>
      <c r="D804" s="40"/>
      <c r="I804" s="41"/>
      <c r="J804" s="40"/>
      <c r="K804" s="40"/>
      <c r="O804" s="25"/>
      <c r="R804" s="25"/>
      <c r="U804" s="40"/>
    </row>
    <row r="805">
      <c r="A805" s="40"/>
      <c r="B805" s="40"/>
      <c r="D805" s="40"/>
      <c r="I805" s="41"/>
      <c r="J805" s="40"/>
      <c r="K805" s="40"/>
      <c r="O805" s="25"/>
      <c r="R805" s="25"/>
      <c r="U805" s="40"/>
    </row>
    <row r="806">
      <c r="A806" s="40"/>
      <c r="B806" s="40"/>
      <c r="D806" s="40"/>
      <c r="I806" s="41"/>
      <c r="J806" s="40"/>
      <c r="K806" s="40"/>
      <c r="O806" s="25"/>
      <c r="R806" s="25"/>
      <c r="U806" s="40"/>
    </row>
    <row r="807">
      <c r="A807" s="40"/>
      <c r="B807" s="40"/>
      <c r="D807" s="40"/>
      <c r="I807" s="41"/>
      <c r="J807" s="40"/>
      <c r="K807" s="40"/>
      <c r="O807" s="25"/>
      <c r="R807" s="25"/>
      <c r="U807" s="40"/>
    </row>
    <row r="808">
      <c r="A808" s="40"/>
      <c r="B808" s="40"/>
      <c r="D808" s="40"/>
      <c r="I808" s="41"/>
      <c r="J808" s="40"/>
      <c r="K808" s="40"/>
      <c r="O808" s="25"/>
      <c r="R808" s="25"/>
      <c r="U808" s="40"/>
    </row>
    <row r="809">
      <c r="A809" s="40"/>
      <c r="B809" s="40"/>
      <c r="D809" s="40"/>
      <c r="I809" s="41"/>
      <c r="J809" s="40"/>
      <c r="K809" s="40"/>
      <c r="O809" s="25"/>
      <c r="R809" s="25"/>
      <c r="U809" s="40"/>
    </row>
    <row r="810">
      <c r="A810" s="40"/>
      <c r="B810" s="40"/>
      <c r="D810" s="40"/>
      <c r="I810" s="41"/>
      <c r="J810" s="40"/>
      <c r="K810" s="40"/>
      <c r="O810" s="25"/>
      <c r="R810" s="25"/>
      <c r="U810" s="40"/>
    </row>
    <row r="811">
      <c r="A811" s="40"/>
      <c r="B811" s="40"/>
      <c r="D811" s="40"/>
      <c r="I811" s="41"/>
      <c r="J811" s="40"/>
      <c r="K811" s="40"/>
      <c r="O811" s="25"/>
      <c r="R811" s="25"/>
      <c r="U811" s="40"/>
    </row>
    <row r="812">
      <c r="A812" s="40"/>
      <c r="B812" s="40"/>
      <c r="D812" s="40"/>
      <c r="I812" s="41"/>
      <c r="J812" s="40"/>
      <c r="K812" s="40"/>
      <c r="O812" s="25"/>
      <c r="R812" s="25"/>
      <c r="U812" s="40"/>
    </row>
    <row r="813">
      <c r="A813" s="40"/>
      <c r="B813" s="40"/>
      <c r="D813" s="40"/>
      <c r="I813" s="41"/>
      <c r="J813" s="40"/>
      <c r="K813" s="40"/>
      <c r="O813" s="25"/>
      <c r="R813" s="25"/>
      <c r="U813" s="40"/>
    </row>
    <row r="814">
      <c r="A814" s="40"/>
      <c r="B814" s="40"/>
      <c r="D814" s="40"/>
      <c r="I814" s="41"/>
      <c r="J814" s="40"/>
      <c r="K814" s="40"/>
      <c r="O814" s="25"/>
      <c r="R814" s="25"/>
      <c r="U814" s="40"/>
    </row>
    <row r="815">
      <c r="A815" s="40"/>
      <c r="B815" s="40"/>
      <c r="D815" s="40"/>
      <c r="I815" s="41"/>
      <c r="J815" s="40"/>
      <c r="K815" s="40"/>
      <c r="O815" s="25"/>
      <c r="R815" s="25"/>
      <c r="U815" s="40"/>
    </row>
    <row r="816">
      <c r="A816" s="40"/>
      <c r="B816" s="40"/>
      <c r="D816" s="40"/>
      <c r="I816" s="41"/>
      <c r="J816" s="40"/>
      <c r="K816" s="40"/>
      <c r="O816" s="25"/>
      <c r="R816" s="25"/>
      <c r="U816" s="40"/>
    </row>
    <row r="817">
      <c r="A817" s="40"/>
      <c r="B817" s="40"/>
      <c r="D817" s="40"/>
      <c r="I817" s="41"/>
      <c r="J817" s="40"/>
      <c r="K817" s="40"/>
      <c r="O817" s="25"/>
      <c r="R817" s="25"/>
      <c r="U817" s="40"/>
    </row>
    <row r="818">
      <c r="A818" s="40"/>
      <c r="B818" s="40"/>
      <c r="D818" s="40"/>
      <c r="I818" s="41"/>
      <c r="J818" s="40"/>
      <c r="K818" s="40"/>
      <c r="O818" s="25"/>
      <c r="R818" s="25"/>
      <c r="U818" s="40"/>
    </row>
    <row r="819">
      <c r="A819" s="40"/>
      <c r="B819" s="40"/>
      <c r="D819" s="40"/>
      <c r="I819" s="41"/>
      <c r="J819" s="40"/>
      <c r="K819" s="40"/>
      <c r="O819" s="25"/>
      <c r="R819" s="25"/>
      <c r="U819" s="40"/>
    </row>
    <row r="820">
      <c r="A820" s="40"/>
      <c r="B820" s="40"/>
      <c r="D820" s="40"/>
      <c r="I820" s="41"/>
      <c r="J820" s="40"/>
      <c r="K820" s="40"/>
      <c r="O820" s="25"/>
      <c r="R820" s="25"/>
      <c r="U820" s="40"/>
    </row>
    <row r="821">
      <c r="A821" s="40"/>
      <c r="B821" s="40"/>
      <c r="D821" s="40"/>
      <c r="I821" s="41"/>
      <c r="J821" s="40"/>
      <c r="K821" s="40"/>
      <c r="O821" s="25"/>
      <c r="R821" s="25"/>
      <c r="U821" s="40"/>
    </row>
    <row r="822">
      <c r="A822" s="40"/>
      <c r="B822" s="40"/>
      <c r="D822" s="40"/>
      <c r="I822" s="41"/>
      <c r="J822" s="40"/>
      <c r="K822" s="40"/>
      <c r="O822" s="25"/>
      <c r="R822" s="25"/>
      <c r="U822" s="40"/>
    </row>
    <row r="823">
      <c r="A823" s="40"/>
      <c r="B823" s="40"/>
      <c r="D823" s="40"/>
      <c r="I823" s="41"/>
      <c r="J823" s="40"/>
      <c r="K823" s="40"/>
      <c r="O823" s="25"/>
      <c r="R823" s="25"/>
      <c r="U823" s="40"/>
    </row>
    <row r="824">
      <c r="A824" s="40"/>
      <c r="B824" s="40"/>
      <c r="D824" s="40"/>
      <c r="I824" s="41"/>
      <c r="J824" s="40"/>
      <c r="K824" s="40"/>
      <c r="O824" s="25"/>
      <c r="R824" s="25"/>
      <c r="U824" s="40"/>
    </row>
    <row r="825">
      <c r="A825" s="40"/>
      <c r="B825" s="40"/>
      <c r="D825" s="40"/>
      <c r="I825" s="41"/>
      <c r="J825" s="40"/>
      <c r="K825" s="40"/>
      <c r="O825" s="25"/>
      <c r="R825" s="25"/>
      <c r="U825" s="40"/>
    </row>
    <row r="826">
      <c r="A826" s="40"/>
      <c r="B826" s="40"/>
      <c r="D826" s="40"/>
      <c r="I826" s="41"/>
      <c r="J826" s="40"/>
      <c r="K826" s="40"/>
      <c r="O826" s="25"/>
      <c r="R826" s="25"/>
      <c r="U826" s="40"/>
    </row>
    <row r="827">
      <c r="A827" s="40"/>
      <c r="B827" s="40"/>
      <c r="D827" s="40"/>
      <c r="I827" s="41"/>
      <c r="J827" s="40"/>
      <c r="K827" s="40"/>
      <c r="O827" s="25"/>
      <c r="R827" s="25"/>
      <c r="U827" s="40"/>
    </row>
    <row r="828">
      <c r="A828" s="40"/>
      <c r="B828" s="40"/>
      <c r="D828" s="40"/>
      <c r="I828" s="41"/>
      <c r="J828" s="40"/>
      <c r="K828" s="40"/>
      <c r="O828" s="25"/>
      <c r="R828" s="25"/>
      <c r="U828" s="40"/>
    </row>
    <row r="829">
      <c r="A829" s="40"/>
      <c r="B829" s="40"/>
      <c r="D829" s="40"/>
      <c r="I829" s="41"/>
      <c r="J829" s="40"/>
      <c r="K829" s="40"/>
      <c r="O829" s="25"/>
      <c r="R829" s="25"/>
      <c r="U829" s="40"/>
    </row>
    <row r="830">
      <c r="A830" s="40"/>
      <c r="B830" s="40"/>
      <c r="D830" s="40"/>
      <c r="I830" s="41"/>
      <c r="J830" s="40"/>
      <c r="K830" s="40"/>
      <c r="O830" s="25"/>
      <c r="R830" s="25"/>
      <c r="U830" s="40"/>
    </row>
    <row r="831">
      <c r="A831" s="40"/>
      <c r="B831" s="40"/>
      <c r="D831" s="40"/>
      <c r="I831" s="41"/>
      <c r="J831" s="40"/>
      <c r="K831" s="40"/>
      <c r="O831" s="25"/>
      <c r="R831" s="25"/>
      <c r="U831" s="40"/>
    </row>
    <row r="832">
      <c r="A832" s="40"/>
      <c r="B832" s="40"/>
      <c r="D832" s="40"/>
      <c r="I832" s="41"/>
      <c r="J832" s="40"/>
      <c r="K832" s="40"/>
      <c r="O832" s="25"/>
      <c r="R832" s="25"/>
      <c r="U832" s="40"/>
    </row>
    <row r="833">
      <c r="A833" s="40"/>
      <c r="B833" s="40"/>
      <c r="D833" s="40"/>
      <c r="I833" s="41"/>
      <c r="J833" s="40"/>
      <c r="K833" s="40"/>
      <c r="O833" s="25"/>
      <c r="R833" s="25"/>
      <c r="U833" s="40"/>
    </row>
    <row r="834">
      <c r="A834" s="40"/>
      <c r="B834" s="40"/>
      <c r="D834" s="40"/>
      <c r="I834" s="41"/>
      <c r="J834" s="40"/>
      <c r="K834" s="40"/>
      <c r="O834" s="25"/>
      <c r="R834" s="25"/>
      <c r="U834" s="40"/>
    </row>
    <row r="835">
      <c r="A835" s="40"/>
      <c r="B835" s="40"/>
      <c r="D835" s="40"/>
      <c r="I835" s="41"/>
      <c r="J835" s="40"/>
      <c r="K835" s="40"/>
      <c r="O835" s="25"/>
      <c r="R835" s="25"/>
      <c r="U835" s="40"/>
    </row>
    <row r="836">
      <c r="A836" s="40"/>
      <c r="B836" s="40"/>
      <c r="D836" s="40"/>
      <c r="I836" s="41"/>
      <c r="J836" s="40"/>
      <c r="K836" s="40"/>
      <c r="O836" s="25"/>
      <c r="R836" s="25"/>
      <c r="U836" s="40"/>
    </row>
    <row r="837">
      <c r="A837" s="40"/>
      <c r="B837" s="40"/>
      <c r="D837" s="40"/>
      <c r="I837" s="41"/>
      <c r="J837" s="40"/>
      <c r="K837" s="40"/>
      <c r="O837" s="25"/>
      <c r="R837" s="25"/>
      <c r="U837" s="40"/>
    </row>
    <row r="838">
      <c r="A838" s="40"/>
      <c r="B838" s="40"/>
      <c r="D838" s="40"/>
      <c r="I838" s="41"/>
      <c r="J838" s="40"/>
      <c r="K838" s="40"/>
      <c r="O838" s="25"/>
      <c r="R838" s="25"/>
      <c r="U838" s="40"/>
    </row>
    <row r="839">
      <c r="A839" s="40"/>
      <c r="B839" s="40"/>
      <c r="D839" s="40"/>
      <c r="I839" s="41"/>
      <c r="J839" s="40"/>
      <c r="K839" s="40"/>
      <c r="O839" s="25"/>
      <c r="R839" s="25"/>
      <c r="U839" s="40"/>
    </row>
    <row r="840">
      <c r="A840" s="40"/>
      <c r="B840" s="40"/>
      <c r="D840" s="40"/>
      <c r="I840" s="41"/>
      <c r="J840" s="40"/>
      <c r="K840" s="40"/>
      <c r="O840" s="25"/>
      <c r="R840" s="25"/>
      <c r="U840" s="40"/>
    </row>
    <row r="841">
      <c r="A841" s="40"/>
      <c r="B841" s="40"/>
      <c r="D841" s="40"/>
      <c r="I841" s="41"/>
      <c r="J841" s="40"/>
      <c r="K841" s="40"/>
      <c r="O841" s="25"/>
      <c r="R841" s="25"/>
      <c r="U841" s="40"/>
    </row>
    <row r="842">
      <c r="A842" s="40"/>
      <c r="B842" s="40"/>
      <c r="D842" s="40"/>
      <c r="I842" s="41"/>
      <c r="J842" s="40"/>
      <c r="K842" s="40"/>
      <c r="O842" s="25"/>
      <c r="R842" s="25"/>
      <c r="U842" s="40"/>
    </row>
    <row r="843">
      <c r="A843" s="40"/>
      <c r="B843" s="40"/>
      <c r="D843" s="40"/>
      <c r="I843" s="41"/>
      <c r="J843" s="40"/>
      <c r="K843" s="40"/>
      <c r="O843" s="25"/>
      <c r="R843" s="25"/>
      <c r="U843" s="40"/>
    </row>
    <row r="844">
      <c r="A844" s="40"/>
      <c r="B844" s="40"/>
      <c r="D844" s="40"/>
      <c r="I844" s="41"/>
      <c r="J844" s="40"/>
      <c r="K844" s="40"/>
      <c r="O844" s="25"/>
      <c r="R844" s="25"/>
      <c r="U844" s="40"/>
    </row>
    <row r="845">
      <c r="A845" s="40"/>
      <c r="B845" s="40"/>
      <c r="D845" s="40"/>
      <c r="I845" s="41"/>
      <c r="J845" s="40"/>
      <c r="K845" s="40"/>
      <c r="O845" s="25"/>
      <c r="R845" s="25"/>
      <c r="U845" s="40"/>
    </row>
    <row r="846">
      <c r="A846" s="40"/>
      <c r="B846" s="40"/>
      <c r="D846" s="40"/>
      <c r="I846" s="41"/>
      <c r="J846" s="40"/>
      <c r="K846" s="40"/>
      <c r="O846" s="25"/>
      <c r="R846" s="25"/>
      <c r="U846" s="40"/>
    </row>
    <row r="847">
      <c r="A847" s="40"/>
      <c r="B847" s="40"/>
      <c r="D847" s="40"/>
      <c r="I847" s="41"/>
      <c r="J847" s="40"/>
      <c r="K847" s="40"/>
      <c r="O847" s="25"/>
      <c r="R847" s="25"/>
      <c r="U847" s="40"/>
    </row>
    <row r="848">
      <c r="A848" s="40"/>
      <c r="B848" s="40"/>
      <c r="D848" s="40"/>
      <c r="I848" s="41"/>
      <c r="J848" s="40"/>
      <c r="K848" s="40"/>
      <c r="O848" s="25"/>
      <c r="R848" s="25"/>
      <c r="U848" s="40"/>
    </row>
    <row r="849">
      <c r="A849" s="40"/>
      <c r="B849" s="40"/>
      <c r="D849" s="40"/>
      <c r="I849" s="41"/>
      <c r="J849" s="40"/>
      <c r="K849" s="40"/>
      <c r="O849" s="25"/>
      <c r="R849" s="25"/>
      <c r="U849" s="40"/>
    </row>
    <row r="850">
      <c r="A850" s="40"/>
      <c r="B850" s="40"/>
      <c r="D850" s="40"/>
      <c r="I850" s="41"/>
      <c r="J850" s="40"/>
      <c r="K850" s="40"/>
      <c r="O850" s="25"/>
      <c r="R850" s="25"/>
      <c r="U850" s="40"/>
    </row>
    <row r="851">
      <c r="A851" s="40"/>
      <c r="B851" s="40"/>
      <c r="D851" s="40"/>
      <c r="I851" s="41"/>
      <c r="J851" s="40"/>
      <c r="K851" s="40"/>
      <c r="O851" s="25"/>
      <c r="R851" s="25"/>
      <c r="U851" s="40"/>
    </row>
    <row r="852">
      <c r="A852" s="40"/>
      <c r="B852" s="40"/>
      <c r="D852" s="40"/>
      <c r="I852" s="41"/>
      <c r="J852" s="40"/>
      <c r="K852" s="40"/>
      <c r="O852" s="25"/>
      <c r="R852" s="25"/>
      <c r="U852" s="40"/>
    </row>
    <row r="853">
      <c r="A853" s="40"/>
      <c r="B853" s="40"/>
      <c r="D853" s="40"/>
      <c r="I853" s="41"/>
      <c r="J853" s="40"/>
      <c r="K853" s="40"/>
      <c r="O853" s="25"/>
      <c r="R853" s="25"/>
      <c r="U853" s="40"/>
    </row>
    <row r="854">
      <c r="A854" s="40"/>
      <c r="B854" s="40"/>
      <c r="D854" s="40"/>
      <c r="I854" s="41"/>
      <c r="J854" s="40"/>
      <c r="K854" s="40"/>
      <c r="O854" s="25"/>
      <c r="R854" s="25"/>
      <c r="U854" s="40"/>
    </row>
    <row r="855">
      <c r="A855" s="40"/>
      <c r="B855" s="40"/>
      <c r="D855" s="40"/>
      <c r="I855" s="41"/>
      <c r="J855" s="40"/>
      <c r="K855" s="40"/>
      <c r="O855" s="25"/>
      <c r="R855" s="25"/>
      <c r="U855" s="40"/>
    </row>
    <row r="856">
      <c r="A856" s="40"/>
      <c r="B856" s="40"/>
      <c r="D856" s="40"/>
      <c r="I856" s="41"/>
      <c r="J856" s="40"/>
      <c r="K856" s="40"/>
      <c r="O856" s="25"/>
      <c r="R856" s="25"/>
      <c r="U856" s="40"/>
    </row>
    <row r="857">
      <c r="A857" s="40"/>
      <c r="B857" s="40"/>
      <c r="D857" s="40"/>
      <c r="I857" s="41"/>
      <c r="J857" s="40"/>
      <c r="K857" s="40"/>
      <c r="O857" s="25"/>
      <c r="R857" s="25"/>
      <c r="U857" s="40"/>
    </row>
    <row r="858">
      <c r="A858" s="40"/>
      <c r="B858" s="40"/>
      <c r="D858" s="40"/>
      <c r="I858" s="41"/>
      <c r="J858" s="40"/>
      <c r="K858" s="40"/>
      <c r="O858" s="25"/>
      <c r="R858" s="25"/>
      <c r="U858" s="40"/>
    </row>
    <row r="859">
      <c r="A859" s="40"/>
      <c r="B859" s="40"/>
      <c r="D859" s="40"/>
      <c r="I859" s="41"/>
      <c r="J859" s="40"/>
      <c r="K859" s="40"/>
      <c r="O859" s="25"/>
      <c r="R859" s="25"/>
      <c r="U859" s="40"/>
    </row>
    <row r="860">
      <c r="A860" s="40"/>
      <c r="B860" s="40"/>
      <c r="D860" s="40"/>
      <c r="I860" s="41"/>
      <c r="J860" s="40"/>
      <c r="K860" s="40"/>
      <c r="O860" s="25"/>
      <c r="R860" s="25"/>
      <c r="U860" s="40"/>
    </row>
    <row r="861">
      <c r="A861" s="40"/>
      <c r="B861" s="40"/>
      <c r="D861" s="40"/>
      <c r="I861" s="41"/>
      <c r="J861" s="40"/>
      <c r="K861" s="40"/>
      <c r="O861" s="25"/>
      <c r="R861" s="25"/>
      <c r="U861" s="40"/>
    </row>
    <row r="862">
      <c r="A862" s="40"/>
      <c r="B862" s="40"/>
      <c r="D862" s="40"/>
      <c r="I862" s="41"/>
      <c r="J862" s="40"/>
      <c r="K862" s="40"/>
      <c r="O862" s="25"/>
      <c r="R862" s="25"/>
      <c r="U862" s="40"/>
    </row>
    <row r="863">
      <c r="A863" s="40"/>
      <c r="B863" s="40"/>
      <c r="D863" s="40"/>
      <c r="I863" s="41"/>
      <c r="J863" s="40"/>
      <c r="K863" s="40"/>
      <c r="O863" s="25"/>
      <c r="R863" s="25"/>
      <c r="U863" s="40"/>
    </row>
    <row r="864">
      <c r="A864" s="40"/>
      <c r="B864" s="40"/>
      <c r="D864" s="40"/>
      <c r="I864" s="41"/>
      <c r="J864" s="40"/>
      <c r="K864" s="40"/>
      <c r="O864" s="25"/>
      <c r="R864" s="25"/>
      <c r="U864" s="40"/>
    </row>
    <row r="865">
      <c r="A865" s="40"/>
      <c r="B865" s="40"/>
      <c r="D865" s="40"/>
      <c r="I865" s="41"/>
      <c r="J865" s="40"/>
      <c r="K865" s="40"/>
      <c r="O865" s="25"/>
      <c r="R865" s="25"/>
      <c r="U865" s="40"/>
    </row>
    <row r="866">
      <c r="A866" s="40"/>
      <c r="B866" s="40"/>
      <c r="D866" s="40"/>
      <c r="I866" s="41"/>
      <c r="J866" s="40"/>
      <c r="K866" s="40"/>
      <c r="O866" s="25"/>
      <c r="R866" s="25"/>
      <c r="U866" s="40"/>
    </row>
    <row r="867">
      <c r="A867" s="40"/>
      <c r="B867" s="40"/>
      <c r="D867" s="40"/>
      <c r="I867" s="41"/>
      <c r="J867" s="40"/>
      <c r="K867" s="40"/>
      <c r="O867" s="25"/>
      <c r="R867" s="25"/>
      <c r="U867" s="40"/>
    </row>
    <row r="868">
      <c r="A868" s="40"/>
      <c r="B868" s="40"/>
      <c r="D868" s="40"/>
      <c r="I868" s="41"/>
      <c r="J868" s="40"/>
      <c r="K868" s="40"/>
      <c r="O868" s="25"/>
      <c r="R868" s="25"/>
      <c r="U868" s="40"/>
    </row>
    <row r="869">
      <c r="A869" s="40"/>
      <c r="B869" s="40"/>
      <c r="D869" s="40"/>
      <c r="I869" s="41"/>
      <c r="J869" s="40"/>
      <c r="K869" s="40"/>
      <c r="O869" s="25"/>
      <c r="R869" s="25"/>
      <c r="U869" s="40"/>
    </row>
    <row r="870">
      <c r="A870" s="40"/>
      <c r="B870" s="40"/>
      <c r="D870" s="40"/>
      <c r="I870" s="41"/>
      <c r="J870" s="40"/>
      <c r="K870" s="40"/>
      <c r="O870" s="25"/>
      <c r="R870" s="25"/>
      <c r="U870" s="40"/>
    </row>
    <row r="871">
      <c r="A871" s="40"/>
      <c r="B871" s="40"/>
      <c r="D871" s="40"/>
      <c r="I871" s="41"/>
      <c r="J871" s="40"/>
      <c r="K871" s="40"/>
      <c r="O871" s="25"/>
      <c r="R871" s="25"/>
      <c r="U871" s="40"/>
    </row>
    <row r="872">
      <c r="A872" s="40"/>
      <c r="B872" s="40"/>
      <c r="D872" s="40"/>
      <c r="I872" s="41"/>
      <c r="J872" s="40"/>
      <c r="K872" s="40"/>
      <c r="O872" s="25"/>
      <c r="R872" s="25"/>
      <c r="U872" s="40"/>
    </row>
    <row r="873">
      <c r="A873" s="40"/>
      <c r="B873" s="40"/>
      <c r="D873" s="40"/>
      <c r="I873" s="41"/>
      <c r="J873" s="40"/>
      <c r="K873" s="40"/>
      <c r="O873" s="25"/>
      <c r="R873" s="25"/>
      <c r="U873" s="40"/>
    </row>
    <row r="874">
      <c r="A874" s="40"/>
      <c r="B874" s="40"/>
      <c r="D874" s="40"/>
      <c r="I874" s="41"/>
      <c r="J874" s="40"/>
      <c r="K874" s="40"/>
      <c r="O874" s="25"/>
      <c r="R874" s="25"/>
      <c r="U874" s="40"/>
    </row>
    <row r="875">
      <c r="A875" s="40"/>
      <c r="B875" s="40"/>
      <c r="D875" s="40"/>
      <c r="I875" s="41"/>
      <c r="J875" s="40"/>
      <c r="K875" s="40"/>
      <c r="O875" s="25"/>
      <c r="R875" s="25"/>
      <c r="U875" s="40"/>
    </row>
    <row r="876">
      <c r="A876" s="40"/>
      <c r="B876" s="40"/>
      <c r="D876" s="40"/>
      <c r="I876" s="41"/>
      <c r="J876" s="40"/>
      <c r="K876" s="40"/>
      <c r="O876" s="25"/>
      <c r="R876" s="25"/>
      <c r="U876" s="40"/>
    </row>
    <row r="877">
      <c r="A877" s="40"/>
      <c r="B877" s="40"/>
      <c r="D877" s="40"/>
      <c r="I877" s="41"/>
      <c r="J877" s="40"/>
      <c r="K877" s="40"/>
      <c r="O877" s="25"/>
      <c r="R877" s="25"/>
      <c r="U877" s="40"/>
    </row>
    <row r="878">
      <c r="A878" s="40"/>
      <c r="B878" s="40"/>
      <c r="D878" s="40"/>
      <c r="I878" s="41"/>
      <c r="J878" s="40"/>
      <c r="K878" s="40"/>
      <c r="O878" s="25"/>
      <c r="R878" s="25"/>
      <c r="U878" s="40"/>
    </row>
    <row r="879">
      <c r="A879" s="40"/>
      <c r="B879" s="40"/>
      <c r="D879" s="40"/>
      <c r="I879" s="41"/>
      <c r="J879" s="40"/>
      <c r="K879" s="40"/>
      <c r="O879" s="25"/>
      <c r="R879" s="25"/>
      <c r="U879" s="40"/>
    </row>
    <row r="880">
      <c r="A880" s="40"/>
      <c r="B880" s="40"/>
      <c r="D880" s="40"/>
      <c r="I880" s="41"/>
      <c r="J880" s="40"/>
      <c r="K880" s="40"/>
      <c r="O880" s="25"/>
      <c r="R880" s="25"/>
      <c r="U880" s="40"/>
    </row>
    <row r="881">
      <c r="A881" s="40"/>
      <c r="B881" s="40"/>
      <c r="D881" s="40"/>
      <c r="I881" s="41"/>
      <c r="J881" s="40"/>
      <c r="K881" s="40"/>
      <c r="O881" s="25"/>
      <c r="R881" s="25"/>
      <c r="U881" s="40"/>
    </row>
    <row r="882">
      <c r="A882" s="40"/>
      <c r="B882" s="40"/>
      <c r="D882" s="40"/>
      <c r="I882" s="41"/>
      <c r="J882" s="40"/>
      <c r="K882" s="40"/>
      <c r="O882" s="25"/>
      <c r="R882" s="25"/>
      <c r="U882" s="40"/>
    </row>
    <row r="883">
      <c r="A883" s="40"/>
      <c r="B883" s="40"/>
      <c r="D883" s="40"/>
      <c r="I883" s="41"/>
      <c r="J883" s="40"/>
      <c r="K883" s="40"/>
      <c r="O883" s="25"/>
      <c r="R883" s="25"/>
      <c r="U883" s="40"/>
    </row>
    <row r="884">
      <c r="A884" s="40"/>
      <c r="B884" s="40"/>
      <c r="D884" s="40"/>
      <c r="I884" s="41"/>
      <c r="J884" s="40"/>
      <c r="K884" s="40"/>
      <c r="O884" s="25"/>
      <c r="R884" s="25"/>
      <c r="U884" s="40"/>
    </row>
    <row r="885">
      <c r="A885" s="40"/>
      <c r="B885" s="40"/>
      <c r="D885" s="40"/>
      <c r="I885" s="41"/>
      <c r="J885" s="40"/>
      <c r="K885" s="40"/>
      <c r="O885" s="25"/>
      <c r="R885" s="25"/>
      <c r="U885" s="40"/>
    </row>
    <row r="886">
      <c r="A886" s="40"/>
      <c r="B886" s="40"/>
      <c r="D886" s="40"/>
      <c r="I886" s="41"/>
      <c r="J886" s="40"/>
      <c r="K886" s="40"/>
      <c r="O886" s="25"/>
      <c r="R886" s="25"/>
      <c r="U886" s="40"/>
    </row>
    <row r="887">
      <c r="A887" s="40"/>
      <c r="B887" s="40"/>
      <c r="D887" s="40"/>
      <c r="I887" s="41"/>
      <c r="J887" s="40"/>
      <c r="K887" s="40"/>
      <c r="O887" s="25"/>
      <c r="R887" s="25"/>
      <c r="U887" s="40"/>
    </row>
    <row r="888">
      <c r="A888" s="40"/>
      <c r="B888" s="40"/>
      <c r="D888" s="40"/>
      <c r="I888" s="41"/>
      <c r="J888" s="40"/>
      <c r="K888" s="40"/>
      <c r="O888" s="25"/>
      <c r="R888" s="25"/>
      <c r="U888" s="40"/>
    </row>
    <row r="889">
      <c r="A889" s="40"/>
      <c r="B889" s="40"/>
      <c r="D889" s="40"/>
      <c r="I889" s="41"/>
      <c r="J889" s="40"/>
      <c r="K889" s="40"/>
      <c r="O889" s="25"/>
      <c r="R889" s="25"/>
      <c r="U889" s="40"/>
    </row>
    <row r="890">
      <c r="A890" s="40"/>
      <c r="B890" s="40"/>
      <c r="D890" s="40"/>
      <c r="I890" s="41"/>
      <c r="J890" s="40"/>
      <c r="K890" s="40"/>
      <c r="O890" s="25"/>
      <c r="R890" s="25"/>
      <c r="U890" s="40"/>
    </row>
    <row r="891">
      <c r="A891" s="40"/>
      <c r="B891" s="40"/>
      <c r="D891" s="40"/>
      <c r="I891" s="41"/>
      <c r="J891" s="40"/>
      <c r="K891" s="40"/>
      <c r="O891" s="25"/>
      <c r="R891" s="25"/>
      <c r="U891" s="40"/>
    </row>
    <row r="892">
      <c r="A892" s="40"/>
      <c r="B892" s="40"/>
      <c r="D892" s="40"/>
      <c r="I892" s="41"/>
      <c r="J892" s="40"/>
      <c r="K892" s="40"/>
      <c r="O892" s="25"/>
      <c r="R892" s="25"/>
      <c r="U892" s="40"/>
    </row>
    <row r="893">
      <c r="A893" s="40"/>
      <c r="B893" s="40"/>
      <c r="D893" s="40"/>
      <c r="I893" s="41"/>
      <c r="J893" s="40"/>
      <c r="K893" s="40"/>
      <c r="O893" s="25"/>
      <c r="R893" s="25"/>
      <c r="U893" s="40"/>
    </row>
    <row r="894">
      <c r="A894" s="40"/>
      <c r="B894" s="40"/>
      <c r="D894" s="40"/>
      <c r="I894" s="41"/>
      <c r="J894" s="40"/>
      <c r="K894" s="40"/>
      <c r="O894" s="25"/>
      <c r="R894" s="25"/>
      <c r="U894" s="40"/>
    </row>
    <row r="895">
      <c r="A895" s="40"/>
      <c r="B895" s="40"/>
      <c r="D895" s="40"/>
      <c r="I895" s="41"/>
      <c r="J895" s="40"/>
      <c r="K895" s="40"/>
      <c r="O895" s="25"/>
      <c r="R895" s="25"/>
      <c r="U895" s="40"/>
    </row>
    <row r="896">
      <c r="A896" s="40"/>
      <c r="B896" s="40"/>
      <c r="D896" s="40"/>
      <c r="I896" s="41"/>
      <c r="J896" s="40"/>
      <c r="K896" s="40"/>
      <c r="O896" s="25"/>
      <c r="R896" s="25"/>
      <c r="U896" s="40"/>
    </row>
    <row r="897">
      <c r="A897" s="40"/>
      <c r="B897" s="40"/>
      <c r="D897" s="40"/>
      <c r="I897" s="41"/>
      <c r="J897" s="40"/>
      <c r="K897" s="40"/>
      <c r="O897" s="25"/>
      <c r="R897" s="25"/>
      <c r="U897" s="40"/>
    </row>
    <row r="898">
      <c r="A898" s="40"/>
      <c r="B898" s="40"/>
      <c r="D898" s="40"/>
      <c r="I898" s="41"/>
      <c r="J898" s="40"/>
      <c r="K898" s="40"/>
      <c r="O898" s="25"/>
      <c r="R898" s="25"/>
      <c r="U898" s="40"/>
    </row>
    <row r="899">
      <c r="A899" s="40"/>
      <c r="B899" s="40"/>
      <c r="D899" s="40"/>
      <c r="I899" s="41"/>
      <c r="J899" s="40"/>
      <c r="K899" s="40"/>
      <c r="O899" s="25"/>
      <c r="R899" s="25"/>
      <c r="U899" s="40"/>
    </row>
    <row r="900">
      <c r="A900" s="40"/>
      <c r="B900" s="40"/>
      <c r="D900" s="40"/>
      <c r="I900" s="41"/>
      <c r="J900" s="40"/>
      <c r="K900" s="40"/>
      <c r="O900" s="25"/>
      <c r="R900" s="25"/>
      <c r="U900" s="40"/>
    </row>
    <row r="901">
      <c r="A901" s="40"/>
      <c r="B901" s="40"/>
      <c r="D901" s="40"/>
      <c r="I901" s="41"/>
      <c r="J901" s="40"/>
      <c r="K901" s="40"/>
      <c r="O901" s="25"/>
      <c r="R901" s="25"/>
      <c r="U901" s="40"/>
    </row>
    <row r="902">
      <c r="A902" s="40"/>
      <c r="B902" s="40"/>
      <c r="D902" s="40"/>
      <c r="I902" s="41"/>
      <c r="J902" s="40"/>
      <c r="K902" s="40"/>
      <c r="O902" s="25"/>
      <c r="R902" s="25"/>
      <c r="U902" s="40"/>
    </row>
    <row r="903">
      <c r="A903" s="40"/>
      <c r="B903" s="40"/>
      <c r="D903" s="40"/>
      <c r="I903" s="41"/>
      <c r="J903" s="40"/>
      <c r="K903" s="40"/>
      <c r="O903" s="25"/>
      <c r="R903" s="25"/>
      <c r="U903" s="40"/>
    </row>
    <row r="904">
      <c r="A904" s="40"/>
      <c r="B904" s="40"/>
      <c r="D904" s="40"/>
      <c r="I904" s="41"/>
      <c r="J904" s="40"/>
      <c r="K904" s="40"/>
      <c r="O904" s="25"/>
      <c r="R904" s="25"/>
      <c r="U904" s="40"/>
    </row>
    <row r="905">
      <c r="A905" s="40"/>
      <c r="B905" s="40"/>
      <c r="D905" s="40"/>
      <c r="I905" s="41"/>
      <c r="J905" s="40"/>
      <c r="K905" s="40"/>
      <c r="O905" s="25"/>
      <c r="R905" s="25"/>
      <c r="U905" s="40"/>
    </row>
    <row r="906">
      <c r="A906" s="40"/>
      <c r="B906" s="40"/>
      <c r="D906" s="40"/>
      <c r="I906" s="41"/>
      <c r="J906" s="40"/>
      <c r="K906" s="40"/>
      <c r="O906" s="25"/>
      <c r="R906" s="25"/>
      <c r="U906" s="40"/>
    </row>
    <row r="907">
      <c r="A907" s="40"/>
      <c r="B907" s="40"/>
      <c r="D907" s="40"/>
      <c r="I907" s="41"/>
      <c r="J907" s="40"/>
      <c r="K907" s="40"/>
      <c r="O907" s="25"/>
      <c r="R907" s="25"/>
      <c r="U907" s="40"/>
    </row>
    <row r="908">
      <c r="A908" s="40"/>
      <c r="B908" s="40"/>
      <c r="D908" s="40"/>
      <c r="I908" s="41"/>
      <c r="J908" s="40"/>
      <c r="K908" s="40"/>
      <c r="O908" s="25"/>
      <c r="R908" s="25"/>
      <c r="U908" s="40"/>
    </row>
    <row r="909">
      <c r="A909" s="40"/>
      <c r="B909" s="40"/>
      <c r="D909" s="40"/>
      <c r="I909" s="41"/>
      <c r="J909" s="40"/>
      <c r="K909" s="40"/>
      <c r="O909" s="25"/>
      <c r="R909" s="25"/>
      <c r="U909" s="40"/>
    </row>
    <row r="910">
      <c r="A910" s="40"/>
      <c r="B910" s="40"/>
      <c r="D910" s="40"/>
      <c r="I910" s="41"/>
      <c r="J910" s="40"/>
      <c r="K910" s="40"/>
      <c r="O910" s="25"/>
      <c r="R910" s="25"/>
      <c r="U910" s="40"/>
    </row>
    <row r="911">
      <c r="A911" s="40"/>
      <c r="B911" s="40"/>
      <c r="D911" s="40"/>
      <c r="I911" s="41"/>
      <c r="J911" s="40"/>
      <c r="K911" s="40"/>
      <c r="O911" s="25"/>
      <c r="R911" s="25"/>
      <c r="U911" s="40"/>
    </row>
    <row r="912">
      <c r="A912" s="40"/>
      <c r="B912" s="40"/>
      <c r="D912" s="40"/>
      <c r="I912" s="41"/>
      <c r="J912" s="40"/>
      <c r="K912" s="40"/>
      <c r="O912" s="25"/>
      <c r="R912" s="25"/>
      <c r="U912" s="40"/>
    </row>
    <row r="913">
      <c r="A913" s="40"/>
      <c r="B913" s="40"/>
      <c r="D913" s="40"/>
      <c r="I913" s="41"/>
      <c r="J913" s="40"/>
      <c r="K913" s="40"/>
      <c r="O913" s="25"/>
      <c r="R913" s="25"/>
      <c r="U913" s="40"/>
    </row>
    <row r="914">
      <c r="A914" s="40"/>
      <c r="B914" s="40"/>
      <c r="D914" s="40"/>
      <c r="I914" s="41"/>
      <c r="J914" s="40"/>
      <c r="K914" s="40"/>
      <c r="O914" s="25"/>
      <c r="R914" s="25"/>
      <c r="U914" s="40"/>
    </row>
    <row r="915">
      <c r="A915" s="40"/>
      <c r="B915" s="40"/>
      <c r="D915" s="40"/>
      <c r="I915" s="41"/>
      <c r="J915" s="40"/>
      <c r="K915" s="40"/>
      <c r="O915" s="25"/>
      <c r="R915" s="25"/>
      <c r="U915" s="40"/>
    </row>
    <row r="916">
      <c r="A916" s="40"/>
      <c r="B916" s="40"/>
      <c r="D916" s="40"/>
      <c r="I916" s="41"/>
      <c r="J916" s="40"/>
      <c r="K916" s="40"/>
      <c r="O916" s="25"/>
      <c r="R916" s="25"/>
      <c r="U916" s="40"/>
    </row>
    <row r="917">
      <c r="A917" s="40"/>
      <c r="B917" s="40"/>
      <c r="D917" s="40"/>
      <c r="I917" s="41"/>
      <c r="J917" s="40"/>
      <c r="K917" s="40"/>
      <c r="O917" s="25"/>
      <c r="R917" s="25"/>
      <c r="U917" s="40"/>
    </row>
    <row r="918">
      <c r="A918" s="40"/>
      <c r="B918" s="40"/>
      <c r="D918" s="40"/>
      <c r="I918" s="41"/>
      <c r="J918" s="40"/>
      <c r="K918" s="40"/>
      <c r="O918" s="25"/>
      <c r="R918" s="25"/>
      <c r="U918" s="40"/>
    </row>
    <row r="919">
      <c r="A919" s="40"/>
      <c r="B919" s="40"/>
      <c r="D919" s="40"/>
      <c r="I919" s="41"/>
      <c r="J919" s="40"/>
      <c r="K919" s="40"/>
      <c r="O919" s="25"/>
      <c r="R919" s="25"/>
      <c r="U919" s="40"/>
    </row>
    <row r="920">
      <c r="A920" s="40"/>
      <c r="B920" s="40"/>
      <c r="D920" s="40"/>
      <c r="I920" s="41"/>
      <c r="J920" s="40"/>
      <c r="K920" s="40"/>
      <c r="O920" s="25"/>
      <c r="R920" s="25"/>
      <c r="U920" s="40"/>
    </row>
    <row r="921">
      <c r="A921" s="40"/>
      <c r="B921" s="40"/>
      <c r="D921" s="40"/>
      <c r="I921" s="41"/>
      <c r="J921" s="40"/>
      <c r="K921" s="40"/>
      <c r="O921" s="25"/>
      <c r="R921" s="25"/>
      <c r="U921" s="40"/>
    </row>
    <row r="922">
      <c r="A922" s="40"/>
      <c r="B922" s="40"/>
      <c r="D922" s="40"/>
      <c r="I922" s="41"/>
      <c r="J922" s="40"/>
      <c r="K922" s="40"/>
      <c r="O922" s="25"/>
      <c r="R922" s="25"/>
      <c r="U922" s="40"/>
    </row>
    <row r="923">
      <c r="A923" s="40"/>
      <c r="B923" s="40"/>
      <c r="D923" s="40"/>
      <c r="I923" s="41"/>
      <c r="J923" s="40"/>
      <c r="K923" s="40"/>
      <c r="O923" s="25"/>
      <c r="R923" s="25"/>
      <c r="U923" s="40"/>
    </row>
    <row r="924">
      <c r="A924" s="40"/>
      <c r="B924" s="40"/>
      <c r="D924" s="40"/>
      <c r="I924" s="41"/>
      <c r="J924" s="40"/>
      <c r="K924" s="40"/>
      <c r="O924" s="25"/>
      <c r="R924" s="25"/>
      <c r="U924" s="40"/>
    </row>
    <row r="925">
      <c r="A925" s="40"/>
      <c r="B925" s="40"/>
      <c r="D925" s="40"/>
      <c r="I925" s="41"/>
      <c r="J925" s="40"/>
      <c r="K925" s="40"/>
      <c r="O925" s="25"/>
      <c r="R925" s="25"/>
      <c r="U925" s="40"/>
    </row>
    <row r="926">
      <c r="A926" s="40"/>
      <c r="B926" s="40"/>
      <c r="D926" s="40"/>
      <c r="I926" s="41"/>
      <c r="J926" s="40"/>
      <c r="K926" s="40"/>
      <c r="O926" s="25"/>
      <c r="R926" s="25"/>
      <c r="U926" s="40"/>
    </row>
    <row r="927">
      <c r="A927" s="40"/>
      <c r="B927" s="40"/>
      <c r="D927" s="40"/>
      <c r="I927" s="41"/>
      <c r="J927" s="40"/>
      <c r="K927" s="40"/>
      <c r="O927" s="25"/>
      <c r="R927" s="25"/>
      <c r="U927" s="40"/>
    </row>
    <row r="928">
      <c r="A928" s="40"/>
      <c r="B928" s="40"/>
      <c r="D928" s="40"/>
      <c r="I928" s="41"/>
      <c r="J928" s="40"/>
      <c r="K928" s="40"/>
      <c r="O928" s="25"/>
      <c r="R928" s="25"/>
      <c r="U928" s="40"/>
    </row>
    <row r="929">
      <c r="A929" s="40"/>
      <c r="B929" s="40"/>
      <c r="D929" s="40"/>
      <c r="I929" s="41"/>
      <c r="J929" s="40"/>
      <c r="K929" s="40"/>
      <c r="O929" s="25"/>
      <c r="R929" s="25"/>
      <c r="U929" s="40"/>
    </row>
    <row r="930">
      <c r="A930" s="40"/>
      <c r="B930" s="40"/>
      <c r="D930" s="40"/>
      <c r="I930" s="41"/>
      <c r="J930" s="40"/>
      <c r="K930" s="40"/>
      <c r="O930" s="25"/>
      <c r="R930" s="25"/>
      <c r="U930" s="40"/>
    </row>
    <row r="931">
      <c r="A931" s="40"/>
      <c r="B931" s="40"/>
      <c r="D931" s="40"/>
      <c r="I931" s="41"/>
      <c r="J931" s="40"/>
      <c r="K931" s="40"/>
      <c r="O931" s="25"/>
      <c r="R931" s="25"/>
      <c r="U931" s="40"/>
    </row>
    <row r="932">
      <c r="A932" s="40"/>
      <c r="B932" s="40"/>
      <c r="D932" s="40"/>
      <c r="I932" s="41"/>
      <c r="J932" s="40"/>
      <c r="K932" s="40"/>
      <c r="O932" s="25"/>
      <c r="R932" s="25"/>
      <c r="U932" s="40"/>
    </row>
    <row r="933">
      <c r="A933" s="40"/>
      <c r="B933" s="40"/>
      <c r="D933" s="40"/>
      <c r="I933" s="41"/>
      <c r="J933" s="40"/>
      <c r="K933" s="40"/>
      <c r="O933" s="25"/>
      <c r="R933" s="25"/>
      <c r="U933" s="40"/>
    </row>
    <row r="934">
      <c r="A934" s="40"/>
      <c r="B934" s="40"/>
      <c r="D934" s="40"/>
      <c r="I934" s="41"/>
      <c r="J934" s="40"/>
      <c r="K934" s="40"/>
      <c r="O934" s="25"/>
      <c r="R934" s="25"/>
      <c r="U934" s="40"/>
    </row>
    <row r="935">
      <c r="A935" s="40"/>
      <c r="B935" s="40"/>
      <c r="D935" s="40"/>
      <c r="I935" s="41"/>
      <c r="J935" s="40"/>
      <c r="K935" s="40"/>
      <c r="O935" s="25"/>
      <c r="R935" s="25"/>
      <c r="U935" s="40"/>
    </row>
    <row r="936">
      <c r="A936" s="40"/>
      <c r="B936" s="40"/>
      <c r="D936" s="40"/>
      <c r="I936" s="41"/>
      <c r="J936" s="40"/>
      <c r="K936" s="40"/>
      <c r="O936" s="25"/>
      <c r="R936" s="25"/>
      <c r="U936" s="40"/>
    </row>
    <row r="937">
      <c r="A937" s="40"/>
      <c r="B937" s="40"/>
      <c r="D937" s="40"/>
      <c r="I937" s="41"/>
      <c r="J937" s="40"/>
      <c r="K937" s="40"/>
      <c r="O937" s="25"/>
      <c r="R937" s="25"/>
      <c r="U937" s="40"/>
    </row>
    <row r="938">
      <c r="A938" s="40"/>
      <c r="B938" s="40"/>
      <c r="D938" s="40"/>
      <c r="I938" s="41"/>
      <c r="J938" s="40"/>
      <c r="K938" s="40"/>
      <c r="O938" s="25"/>
      <c r="R938" s="25"/>
      <c r="U938" s="40"/>
    </row>
    <row r="939">
      <c r="A939" s="40"/>
      <c r="B939" s="40"/>
      <c r="D939" s="40"/>
      <c r="I939" s="41"/>
      <c r="J939" s="40"/>
      <c r="K939" s="40"/>
      <c r="O939" s="25"/>
      <c r="R939" s="25"/>
      <c r="U939" s="40"/>
    </row>
    <row r="940">
      <c r="A940" s="40"/>
      <c r="B940" s="40"/>
      <c r="D940" s="40"/>
      <c r="I940" s="41"/>
      <c r="J940" s="40"/>
      <c r="K940" s="40"/>
      <c r="O940" s="25"/>
      <c r="R940" s="25"/>
      <c r="U940" s="40"/>
    </row>
    <row r="941">
      <c r="A941" s="40"/>
      <c r="B941" s="40"/>
      <c r="D941" s="40"/>
      <c r="I941" s="41"/>
      <c r="J941" s="40"/>
      <c r="K941" s="40"/>
      <c r="O941" s="25"/>
      <c r="R941" s="25"/>
      <c r="U941" s="40"/>
    </row>
    <row r="942">
      <c r="A942" s="40"/>
      <c r="B942" s="40"/>
      <c r="D942" s="40"/>
      <c r="I942" s="41"/>
      <c r="J942" s="40"/>
      <c r="K942" s="40"/>
      <c r="O942" s="25"/>
      <c r="R942" s="25"/>
      <c r="U942" s="40"/>
    </row>
    <row r="943">
      <c r="A943" s="40"/>
      <c r="B943" s="40"/>
      <c r="D943" s="40"/>
      <c r="I943" s="41"/>
      <c r="J943" s="40"/>
      <c r="K943" s="40"/>
      <c r="O943" s="25"/>
      <c r="R943" s="25"/>
      <c r="U943" s="40"/>
    </row>
    <row r="944">
      <c r="A944" s="40"/>
      <c r="B944" s="40"/>
      <c r="D944" s="40"/>
      <c r="I944" s="41"/>
      <c r="J944" s="40"/>
      <c r="K944" s="40"/>
      <c r="O944" s="25"/>
      <c r="R944" s="25"/>
      <c r="U944" s="40"/>
    </row>
    <row r="945">
      <c r="A945" s="40"/>
      <c r="B945" s="40"/>
      <c r="D945" s="40"/>
      <c r="I945" s="41"/>
      <c r="J945" s="40"/>
      <c r="K945" s="40"/>
      <c r="O945" s="25"/>
      <c r="R945" s="25"/>
      <c r="U945" s="40"/>
    </row>
    <row r="946">
      <c r="A946" s="40"/>
      <c r="B946" s="40"/>
      <c r="D946" s="40"/>
      <c r="I946" s="41"/>
      <c r="J946" s="40"/>
      <c r="K946" s="40"/>
      <c r="O946" s="25"/>
      <c r="R946" s="25"/>
      <c r="U946" s="40"/>
    </row>
    <row r="947">
      <c r="A947" s="40"/>
      <c r="B947" s="40"/>
      <c r="D947" s="40"/>
      <c r="I947" s="41"/>
      <c r="J947" s="40"/>
      <c r="K947" s="40"/>
      <c r="O947" s="25"/>
      <c r="R947" s="25"/>
      <c r="U947" s="40"/>
    </row>
    <row r="948">
      <c r="A948" s="40"/>
      <c r="B948" s="40"/>
      <c r="D948" s="40"/>
      <c r="I948" s="41"/>
      <c r="J948" s="40"/>
      <c r="K948" s="40"/>
      <c r="O948" s="25"/>
      <c r="R948" s="25"/>
      <c r="U948" s="40"/>
    </row>
    <row r="949">
      <c r="A949" s="40"/>
      <c r="B949" s="40"/>
      <c r="D949" s="40"/>
      <c r="I949" s="41"/>
      <c r="J949" s="40"/>
      <c r="K949" s="40"/>
      <c r="O949" s="25"/>
      <c r="R949" s="25"/>
      <c r="U949" s="40"/>
    </row>
    <row r="950">
      <c r="A950" s="40"/>
      <c r="B950" s="40"/>
      <c r="D950" s="40"/>
      <c r="I950" s="41"/>
      <c r="J950" s="40"/>
      <c r="K950" s="40"/>
      <c r="O950" s="25"/>
      <c r="R950" s="25"/>
      <c r="U950" s="40"/>
    </row>
    <row r="951">
      <c r="A951" s="40"/>
      <c r="B951" s="40"/>
      <c r="D951" s="40"/>
      <c r="I951" s="41"/>
      <c r="J951" s="40"/>
      <c r="K951" s="40"/>
      <c r="O951" s="25"/>
      <c r="R951" s="25"/>
      <c r="U951" s="40"/>
    </row>
    <row r="952">
      <c r="A952" s="40"/>
      <c r="B952" s="40"/>
      <c r="D952" s="40"/>
      <c r="I952" s="41"/>
      <c r="J952" s="40"/>
      <c r="K952" s="40"/>
      <c r="O952" s="25"/>
      <c r="R952" s="25"/>
      <c r="U952" s="40"/>
    </row>
    <row r="953">
      <c r="A953" s="40"/>
      <c r="B953" s="40"/>
      <c r="D953" s="40"/>
      <c r="I953" s="41"/>
      <c r="J953" s="40"/>
      <c r="K953" s="40"/>
      <c r="O953" s="25"/>
      <c r="R953" s="25"/>
      <c r="U953" s="40"/>
    </row>
    <row r="954">
      <c r="A954" s="40"/>
      <c r="B954" s="40"/>
      <c r="D954" s="40"/>
      <c r="I954" s="41"/>
      <c r="J954" s="40"/>
      <c r="K954" s="40"/>
      <c r="O954" s="25"/>
      <c r="R954" s="25"/>
      <c r="U954" s="40"/>
    </row>
    <row r="955">
      <c r="A955" s="40"/>
      <c r="B955" s="40"/>
      <c r="D955" s="40"/>
      <c r="I955" s="41"/>
      <c r="J955" s="40"/>
      <c r="K955" s="40"/>
      <c r="O955" s="25"/>
      <c r="R955" s="25"/>
      <c r="U955" s="40"/>
    </row>
    <row r="956">
      <c r="A956" s="40"/>
      <c r="B956" s="40"/>
      <c r="D956" s="40"/>
      <c r="I956" s="41"/>
      <c r="J956" s="40"/>
      <c r="K956" s="40"/>
      <c r="O956" s="25"/>
      <c r="R956" s="25"/>
      <c r="U956" s="40"/>
    </row>
    <row r="957">
      <c r="A957" s="40"/>
      <c r="B957" s="40"/>
      <c r="D957" s="40"/>
      <c r="I957" s="41"/>
      <c r="J957" s="40"/>
      <c r="K957" s="40"/>
      <c r="O957" s="25"/>
      <c r="R957" s="25"/>
      <c r="U957" s="40"/>
    </row>
    <row r="958">
      <c r="A958" s="40"/>
      <c r="B958" s="40"/>
      <c r="D958" s="40"/>
      <c r="I958" s="41"/>
      <c r="J958" s="40"/>
      <c r="K958" s="40"/>
      <c r="O958" s="25"/>
      <c r="R958" s="25"/>
      <c r="U958" s="40"/>
    </row>
    <row r="959">
      <c r="A959" s="40"/>
      <c r="B959" s="40"/>
      <c r="D959" s="40"/>
      <c r="I959" s="41"/>
      <c r="J959" s="40"/>
      <c r="K959" s="40"/>
      <c r="O959" s="25"/>
      <c r="R959" s="25"/>
      <c r="U959" s="40"/>
    </row>
    <row r="960">
      <c r="A960" s="40"/>
      <c r="B960" s="40"/>
      <c r="D960" s="40"/>
      <c r="I960" s="41"/>
      <c r="J960" s="40"/>
      <c r="K960" s="40"/>
      <c r="O960" s="25"/>
      <c r="R960" s="25"/>
      <c r="U960" s="40"/>
    </row>
    <row r="961">
      <c r="A961" s="40"/>
      <c r="B961" s="40"/>
      <c r="D961" s="40"/>
      <c r="I961" s="41"/>
      <c r="J961" s="40"/>
      <c r="K961" s="40"/>
      <c r="O961" s="25"/>
      <c r="R961" s="25"/>
      <c r="U961" s="40"/>
    </row>
    <row r="962">
      <c r="A962" s="40"/>
      <c r="B962" s="40"/>
      <c r="D962" s="40"/>
      <c r="I962" s="41"/>
      <c r="J962" s="40"/>
      <c r="K962" s="40"/>
      <c r="O962" s="25"/>
      <c r="R962" s="25"/>
      <c r="U962" s="40"/>
    </row>
    <row r="963">
      <c r="A963" s="40"/>
      <c r="B963" s="40"/>
      <c r="D963" s="40"/>
      <c r="I963" s="41"/>
      <c r="J963" s="40"/>
      <c r="K963" s="40"/>
      <c r="O963" s="25"/>
      <c r="R963" s="25"/>
      <c r="U963" s="40"/>
    </row>
    <row r="964">
      <c r="A964" s="40"/>
      <c r="B964" s="40"/>
      <c r="D964" s="40"/>
      <c r="I964" s="41"/>
      <c r="J964" s="40"/>
      <c r="K964" s="40"/>
      <c r="O964" s="25"/>
      <c r="R964" s="25"/>
      <c r="U964" s="40"/>
    </row>
    <row r="965">
      <c r="A965" s="40"/>
      <c r="B965" s="40"/>
      <c r="D965" s="40"/>
      <c r="I965" s="41"/>
      <c r="J965" s="40"/>
      <c r="K965" s="40"/>
      <c r="O965" s="25"/>
      <c r="R965" s="25"/>
      <c r="U965" s="40"/>
    </row>
    <row r="966">
      <c r="A966" s="40"/>
      <c r="B966" s="40"/>
      <c r="D966" s="40"/>
      <c r="I966" s="41"/>
      <c r="J966" s="40"/>
      <c r="K966" s="40"/>
      <c r="O966" s="25"/>
      <c r="R966" s="25"/>
      <c r="U966" s="40"/>
    </row>
    <row r="967">
      <c r="A967" s="40"/>
      <c r="B967" s="40"/>
      <c r="D967" s="40"/>
      <c r="I967" s="41"/>
      <c r="J967" s="40"/>
      <c r="K967" s="40"/>
      <c r="O967" s="25"/>
      <c r="R967" s="25"/>
      <c r="U967" s="40"/>
    </row>
    <row r="968">
      <c r="A968" s="40"/>
      <c r="B968" s="40"/>
      <c r="D968" s="40"/>
      <c r="I968" s="41"/>
      <c r="J968" s="40"/>
      <c r="K968" s="40"/>
      <c r="O968" s="25"/>
      <c r="R968" s="25"/>
      <c r="U968" s="40"/>
    </row>
    <row r="969">
      <c r="A969" s="40"/>
      <c r="B969" s="40"/>
      <c r="D969" s="40"/>
      <c r="I969" s="41"/>
      <c r="J969" s="40"/>
      <c r="K969" s="40"/>
      <c r="O969" s="25"/>
      <c r="R969" s="25"/>
      <c r="U969" s="40"/>
    </row>
    <row r="970">
      <c r="A970" s="40"/>
      <c r="B970" s="40"/>
      <c r="D970" s="40"/>
      <c r="I970" s="41"/>
      <c r="J970" s="40"/>
      <c r="K970" s="40"/>
      <c r="O970" s="25"/>
      <c r="R970" s="25"/>
      <c r="U970" s="40"/>
    </row>
    <row r="971">
      <c r="A971" s="40"/>
      <c r="B971" s="40"/>
      <c r="D971" s="40"/>
      <c r="I971" s="41"/>
      <c r="J971" s="40"/>
      <c r="K971" s="40"/>
      <c r="O971" s="25"/>
      <c r="R971" s="25"/>
      <c r="U971" s="40"/>
    </row>
    <row r="972">
      <c r="A972" s="40"/>
      <c r="B972" s="40"/>
      <c r="D972" s="40"/>
      <c r="I972" s="41"/>
      <c r="J972" s="40"/>
      <c r="K972" s="40"/>
      <c r="O972" s="25"/>
      <c r="R972" s="25"/>
      <c r="U972" s="40"/>
    </row>
    <row r="973">
      <c r="A973" s="40"/>
      <c r="B973" s="40"/>
      <c r="D973" s="40"/>
      <c r="I973" s="41"/>
      <c r="J973" s="40"/>
      <c r="K973" s="40"/>
      <c r="O973" s="25"/>
      <c r="R973" s="25"/>
      <c r="U973" s="40"/>
    </row>
    <row r="974">
      <c r="A974" s="40"/>
      <c r="B974" s="40"/>
      <c r="D974" s="40"/>
      <c r="I974" s="41"/>
      <c r="J974" s="40"/>
      <c r="K974" s="40"/>
      <c r="O974" s="25"/>
      <c r="R974" s="25"/>
      <c r="U974" s="40"/>
    </row>
    <row r="975">
      <c r="A975" s="40"/>
      <c r="B975" s="40"/>
      <c r="D975" s="40"/>
      <c r="I975" s="41"/>
      <c r="J975" s="40"/>
      <c r="K975" s="40"/>
      <c r="O975" s="25"/>
      <c r="R975" s="25"/>
      <c r="U975" s="40"/>
    </row>
    <row r="976">
      <c r="A976" s="40"/>
      <c r="B976" s="40"/>
      <c r="D976" s="40"/>
      <c r="I976" s="41"/>
      <c r="J976" s="40"/>
      <c r="K976" s="40"/>
      <c r="O976" s="25"/>
      <c r="R976" s="25"/>
      <c r="U976" s="40"/>
    </row>
    <row r="977">
      <c r="A977" s="40"/>
      <c r="B977" s="40"/>
      <c r="D977" s="40"/>
      <c r="I977" s="41"/>
      <c r="J977" s="40"/>
      <c r="K977" s="40"/>
      <c r="O977" s="25"/>
      <c r="R977" s="25"/>
      <c r="U977" s="40"/>
    </row>
    <row r="978">
      <c r="A978" s="40"/>
      <c r="B978" s="40"/>
      <c r="D978" s="40"/>
      <c r="I978" s="41"/>
      <c r="J978" s="40"/>
      <c r="K978" s="40"/>
      <c r="O978" s="25"/>
      <c r="R978" s="25"/>
      <c r="U978" s="40"/>
    </row>
    <row r="979">
      <c r="A979" s="40"/>
      <c r="B979" s="40"/>
      <c r="D979" s="40"/>
      <c r="I979" s="41"/>
      <c r="J979" s="40"/>
      <c r="K979" s="40"/>
      <c r="O979" s="25"/>
      <c r="R979" s="25"/>
      <c r="U979" s="40"/>
    </row>
    <row r="980">
      <c r="A980" s="40"/>
      <c r="B980" s="40"/>
      <c r="D980" s="40"/>
      <c r="I980" s="41"/>
      <c r="J980" s="40"/>
      <c r="K980" s="40"/>
      <c r="O980" s="25"/>
      <c r="R980" s="25"/>
      <c r="U980" s="40"/>
    </row>
    <row r="981">
      <c r="A981" s="40"/>
      <c r="B981" s="40"/>
      <c r="D981" s="40"/>
      <c r="I981" s="41"/>
      <c r="J981" s="40"/>
      <c r="K981" s="40"/>
      <c r="O981" s="25"/>
      <c r="R981" s="25"/>
      <c r="U981" s="40"/>
    </row>
    <row r="982">
      <c r="A982" s="40"/>
      <c r="B982" s="40"/>
      <c r="D982" s="40"/>
      <c r="I982" s="41"/>
      <c r="J982" s="40"/>
      <c r="K982" s="40"/>
      <c r="O982" s="25"/>
      <c r="R982" s="25"/>
      <c r="U982" s="40"/>
    </row>
    <row r="983">
      <c r="A983" s="40"/>
      <c r="B983" s="40"/>
      <c r="D983" s="40"/>
      <c r="I983" s="41"/>
      <c r="J983" s="40"/>
      <c r="K983" s="40"/>
      <c r="O983" s="25"/>
      <c r="R983" s="25"/>
      <c r="U983" s="40"/>
    </row>
    <row r="984">
      <c r="A984" s="40"/>
      <c r="B984" s="40"/>
      <c r="D984" s="40"/>
      <c r="I984" s="41"/>
      <c r="J984" s="40"/>
      <c r="K984" s="40"/>
      <c r="O984" s="25"/>
      <c r="R984" s="25"/>
      <c r="U984" s="40"/>
    </row>
    <row r="985">
      <c r="A985" s="40"/>
      <c r="B985" s="40"/>
      <c r="D985" s="40"/>
      <c r="I985" s="41"/>
      <c r="J985" s="40"/>
      <c r="K985" s="40"/>
      <c r="O985" s="25"/>
      <c r="R985" s="25"/>
      <c r="U985" s="40"/>
    </row>
    <row r="986">
      <c r="A986" s="40"/>
      <c r="B986" s="40"/>
      <c r="D986" s="40"/>
      <c r="I986" s="41"/>
      <c r="J986" s="40"/>
      <c r="K986" s="40"/>
      <c r="O986" s="25"/>
      <c r="R986" s="25"/>
      <c r="U986" s="40"/>
    </row>
    <row r="987">
      <c r="A987" s="40"/>
      <c r="B987" s="40"/>
      <c r="D987" s="40"/>
      <c r="I987" s="41"/>
      <c r="J987" s="40"/>
      <c r="K987" s="40"/>
      <c r="O987" s="25"/>
      <c r="R987" s="25"/>
      <c r="U987" s="40"/>
    </row>
    <row r="988">
      <c r="A988" s="40"/>
      <c r="B988" s="40"/>
      <c r="D988" s="40"/>
      <c r="I988" s="41"/>
      <c r="J988" s="40"/>
      <c r="K988" s="40"/>
      <c r="O988" s="25"/>
      <c r="R988" s="25"/>
      <c r="U988" s="40"/>
    </row>
    <row r="989">
      <c r="A989" s="40"/>
      <c r="B989" s="40"/>
      <c r="D989" s="40"/>
      <c r="I989" s="41"/>
      <c r="J989" s="40"/>
      <c r="K989" s="40"/>
      <c r="O989" s="25"/>
      <c r="R989" s="25"/>
      <c r="U989" s="40"/>
    </row>
    <row r="990">
      <c r="A990" s="40"/>
      <c r="B990" s="40"/>
      <c r="D990" s="40"/>
      <c r="I990" s="41"/>
      <c r="J990" s="40"/>
      <c r="K990" s="40"/>
      <c r="O990" s="25"/>
      <c r="R990" s="25"/>
      <c r="U990" s="40"/>
    </row>
    <row r="991">
      <c r="A991" s="40"/>
      <c r="B991" s="40"/>
      <c r="D991" s="40"/>
      <c r="I991" s="41"/>
      <c r="J991" s="40"/>
      <c r="K991" s="40"/>
      <c r="O991" s="25"/>
      <c r="R991" s="25"/>
      <c r="U991" s="40"/>
    </row>
    <row r="992">
      <c r="A992" s="40"/>
      <c r="B992" s="40"/>
      <c r="D992" s="40"/>
      <c r="I992" s="41"/>
      <c r="J992" s="40"/>
      <c r="K992" s="40"/>
      <c r="O992" s="25"/>
      <c r="R992" s="25"/>
      <c r="U992" s="40"/>
    </row>
    <row r="993">
      <c r="A993" s="40"/>
      <c r="B993" s="40"/>
      <c r="D993" s="40"/>
      <c r="I993" s="41"/>
      <c r="J993" s="40"/>
      <c r="K993" s="40"/>
      <c r="O993" s="25"/>
      <c r="R993" s="25"/>
      <c r="U993" s="40"/>
    </row>
    <row r="994">
      <c r="A994" s="40"/>
      <c r="B994" s="40"/>
      <c r="D994" s="40"/>
      <c r="I994" s="41"/>
      <c r="J994" s="40"/>
      <c r="K994" s="40"/>
      <c r="O994" s="25"/>
      <c r="R994" s="25"/>
      <c r="U994" s="40"/>
    </row>
    <row r="995">
      <c r="A995" s="40"/>
      <c r="B995" s="40"/>
      <c r="D995" s="40"/>
      <c r="I995" s="41"/>
      <c r="J995" s="40"/>
      <c r="K995" s="40"/>
      <c r="O995" s="25"/>
      <c r="R995" s="25"/>
      <c r="U995" s="40"/>
    </row>
    <row r="996">
      <c r="A996" s="40"/>
      <c r="B996" s="40"/>
      <c r="D996" s="40"/>
      <c r="I996" s="41"/>
      <c r="J996" s="40"/>
      <c r="K996" s="40"/>
      <c r="O996" s="25"/>
      <c r="R996" s="25"/>
      <c r="U996" s="40"/>
    </row>
    <row r="997">
      <c r="A997" s="40"/>
      <c r="B997" s="40"/>
      <c r="D997" s="40"/>
      <c r="I997" s="41"/>
      <c r="J997" s="40"/>
      <c r="K997" s="40"/>
      <c r="O997" s="25"/>
      <c r="R997" s="25"/>
      <c r="U997" s="40"/>
    </row>
    <row r="998">
      <c r="A998" s="40"/>
      <c r="B998" s="40"/>
      <c r="D998" s="40"/>
      <c r="I998" s="41"/>
      <c r="J998" s="40"/>
      <c r="K998" s="40"/>
      <c r="O998" s="25"/>
      <c r="R998" s="25"/>
      <c r="U998" s="40"/>
    </row>
    <row r="999">
      <c r="A999" s="40"/>
      <c r="B999" s="40"/>
      <c r="D999" s="40"/>
      <c r="I999" s="41"/>
      <c r="J999" s="40"/>
      <c r="K999" s="40"/>
      <c r="O999" s="25"/>
      <c r="R999" s="25"/>
      <c r="U999" s="40"/>
    </row>
    <row r="1000">
      <c r="A1000" s="40"/>
      <c r="B1000" s="40"/>
      <c r="D1000" s="40"/>
      <c r="I1000" s="41"/>
      <c r="J1000" s="40"/>
      <c r="K1000" s="40"/>
      <c r="O1000" s="25"/>
      <c r="R1000" s="25"/>
      <c r="U1000" s="40"/>
    </row>
    <row r="1001">
      <c r="A1001" s="40"/>
      <c r="B1001" s="40"/>
      <c r="D1001" s="40"/>
      <c r="I1001" s="41"/>
      <c r="J1001" s="40"/>
      <c r="K1001" s="40"/>
      <c r="O1001" s="25"/>
      <c r="R1001" s="25"/>
      <c r="U1001" s="40"/>
    </row>
    <row r="1002">
      <c r="A1002" s="40"/>
      <c r="B1002" s="40"/>
      <c r="D1002" s="40"/>
      <c r="I1002" s="41"/>
      <c r="J1002" s="40"/>
      <c r="K1002" s="40"/>
      <c r="O1002" s="25"/>
      <c r="R1002" s="25"/>
      <c r="U1002" s="40"/>
    </row>
    <row r="1003">
      <c r="A1003" s="40"/>
      <c r="B1003" s="40"/>
      <c r="D1003" s="40"/>
      <c r="I1003" s="41"/>
      <c r="J1003" s="40"/>
      <c r="K1003" s="40"/>
      <c r="O1003" s="25"/>
      <c r="R1003" s="25"/>
      <c r="U1003" s="40"/>
    </row>
    <row r="1004">
      <c r="A1004" s="40"/>
      <c r="B1004" s="40"/>
      <c r="D1004" s="40"/>
      <c r="I1004" s="41"/>
      <c r="J1004" s="40"/>
      <c r="K1004" s="40"/>
      <c r="O1004" s="25"/>
      <c r="R1004" s="25"/>
      <c r="U1004" s="40"/>
    </row>
    <row r="1005">
      <c r="A1005" s="40"/>
      <c r="B1005" s="40"/>
      <c r="D1005" s="40"/>
      <c r="I1005" s="41"/>
      <c r="J1005" s="40"/>
      <c r="K1005" s="40"/>
      <c r="O1005" s="25"/>
      <c r="R1005" s="25"/>
      <c r="U1005" s="40"/>
    </row>
    <row r="1006">
      <c r="A1006" s="40"/>
      <c r="B1006" s="40"/>
      <c r="D1006" s="40"/>
      <c r="I1006" s="41"/>
      <c r="J1006" s="40"/>
      <c r="K1006" s="40"/>
      <c r="O1006" s="25"/>
      <c r="R1006" s="25"/>
      <c r="U1006" s="40"/>
    </row>
    <row r="1007">
      <c r="A1007" s="40"/>
      <c r="B1007" s="40"/>
      <c r="D1007" s="40"/>
      <c r="I1007" s="41"/>
      <c r="J1007" s="40"/>
      <c r="K1007" s="40"/>
      <c r="O1007" s="25"/>
      <c r="R1007" s="25"/>
      <c r="U1007" s="40"/>
    </row>
  </sheetData>
  <conditionalFormatting sqref="U2:U5">
    <cfRule type="cellIs" dxfId="7" priority="1" operator="equal">
      <formula>"FALSE"</formula>
    </cfRule>
  </conditionalFormatting>
  <conditionalFormatting sqref="U2:U5">
    <cfRule type="cellIs" dxfId="8" priority="2" operator="equal">
      <formula>"TRUE"</formula>
    </cfRule>
  </conditionalFormatting>
  <dataValidations>
    <dataValidation type="list" allowBlank="1" sqref="D2:D21">
      <formula1>#REF!</formula1>
    </dataValidation>
    <dataValidation type="list" allowBlank="1" sqref="P2:P21">
      <formula1>"00:30,01:00,02:00,04:00,08:00"</formula1>
    </dataValidation>
    <dataValidation type="custom" allowBlank="1" showDropDown="1" sqref="L2:L21 N2:N21 R2:R21">
      <formula1>OR(NOT(ISERROR(DATEVALUE(L2))), AND(ISNUMBER(L2), LEFT(CELL("format", L2))="D"))</formula1>
    </dataValidation>
    <dataValidation type="custom" allowBlank="1" showDropDown="1" sqref="O2:O21">
      <formula1>OR(NOT(ISERROR(DATEVALUE(O2))), AND(ISNUMBER(O2), LEFT(CELL("format", O2))="D"))</formula1>
    </dataValidation>
    <dataValidation type="custom" allowBlank="1" showDropDown="1" sqref="I2:I21">
      <formula1>AND(ISNUMBER(I2),(NOT(OR(NOT(ISERROR(DATEVALUE(I2))), AND(ISNUMBER(I2), LEFT(CELL("format", I2))="D")))))</formula1>
    </dataValidation>
    <dataValidation type="list" allowBlank="1" sqref="K2:K21">
      <formula1>"1,2,3,4,5"</formula1>
    </dataValidation>
    <dataValidation type="list" allowBlank="1" sqref="J2:J21">
      <formula1>"Completed,In Progress,Todo,Assigned,Scheduling conflict"</formula1>
    </dataValidation>
    <dataValidation allowBlank="1" showDropDown="1" sqref="U2:U21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18.13"/>
    <col customWidth="1" min="5" max="5" width="29.5"/>
    <col customWidth="1" min="6" max="6" width="32.88"/>
    <col customWidth="1" min="7" max="7" width="25.75"/>
    <col customWidth="1" min="8" max="8" width="22.63"/>
    <col customWidth="1" min="9" max="9" width="13.5"/>
    <col customWidth="1" min="11" max="11" width="19.25"/>
    <col customWidth="1" min="12" max="12" width="15.5"/>
    <col customWidth="1" min="14" max="14" width="59.0"/>
    <col customWidth="1" min="15" max="15" width="12.75"/>
    <col customWidth="1" min="16" max="16" width="14.13"/>
  </cols>
  <sheetData>
    <row r="1" ht="22.5" customHeight="1">
      <c r="A1" s="5" t="s">
        <v>27</v>
      </c>
      <c r="B1" s="5" t="s">
        <v>1</v>
      </c>
      <c r="C1" s="5" t="s">
        <v>91</v>
      </c>
      <c r="D1" s="5" t="s">
        <v>93</v>
      </c>
      <c r="E1" s="5" t="s">
        <v>95</v>
      </c>
      <c r="F1" s="5" t="s">
        <v>96</v>
      </c>
      <c r="G1" s="5" t="s">
        <v>97</v>
      </c>
      <c r="H1" s="5" t="s">
        <v>99</v>
      </c>
      <c r="I1" s="5" t="s">
        <v>45</v>
      </c>
      <c r="J1" s="5" t="s">
        <v>21</v>
      </c>
      <c r="K1" s="5" t="s">
        <v>101</v>
      </c>
      <c r="L1" s="5" t="s">
        <v>103</v>
      </c>
      <c r="M1" s="5" t="s">
        <v>105</v>
      </c>
      <c r="N1" s="5" t="s">
        <v>58</v>
      </c>
      <c r="O1" s="5" t="s">
        <v>107</v>
      </c>
      <c r="P1" s="5" t="s">
        <v>108</v>
      </c>
    </row>
    <row r="2" ht="22.5" customHeight="1">
      <c r="A2" s="8" t="s">
        <v>82</v>
      </c>
      <c r="B2" s="8" t="s">
        <v>13</v>
      </c>
      <c r="C2" s="11">
        <v>46218.0</v>
      </c>
      <c r="D2" s="17" t="s">
        <v>18</v>
      </c>
      <c r="E2" s="8" t="s">
        <v>19</v>
      </c>
      <c r="F2" s="17" t="s">
        <v>20</v>
      </c>
      <c r="G2" s="17" t="s">
        <v>22</v>
      </c>
      <c r="H2" s="10"/>
      <c r="I2" s="17" t="s">
        <v>115</v>
      </c>
      <c r="J2" s="8" t="s">
        <v>79</v>
      </c>
      <c r="L2" s="20"/>
      <c r="N2" s="8" t="s">
        <v>117</v>
      </c>
      <c r="O2" s="8">
        <v>3.0</v>
      </c>
      <c r="P2" s="8" t="s">
        <v>118</v>
      </c>
    </row>
    <row r="3" ht="22.5" customHeight="1">
      <c r="A3" s="8" t="s">
        <v>130</v>
      </c>
      <c r="B3" s="8" t="s">
        <v>28</v>
      </c>
      <c r="C3" s="11">
        <v>46218.0</v>
      </c>
      <c r="D3" s="17" t="s">
        <v>26</v>
      </c>
      <c r="E3" s="8" t="s">
        <v>29</v>
      </c>
      <c r="F3" s="17" t="s">
        <v>30</v>
      </c>
      <c r="G3" s="17" t="s">
        <v>5</v>
      </c>
      <c r="H3" s="10"/>
      <c r="I3" s="17" t="s">
        <v>115</v>
      </c>
      <c r="J3" s="8" t="s">
        <v>136</v>
      </c>
      <c r="L3" s="20"/>
      <c r="N3" s="8" t="s">
        <v>137</v>
      </c>
      <c r="O3" s="8">
        <v>5.0</v>
      </c>
      <c r="P3" s="8" t="s">
        <v>140</v>
      </c>
    </row>
    <row r="4" ht="22.5" customHeight="1">
      <c r="A4" s="8" t="s">
        <v>156</v>
      </c>
      <c r="B4" s="8" t="s">
        <v>40</v>
      </c>
      <c r="C4" s="11">
        <v>46218.0</v>
      </c>
      <c r="D4" s="17" t="s">
        <v>37</v>
      </c>
      <c r="E4" s="8" t="s">
        <v>39</v>
      </c>
      <c r="F4" s="17" t="s">
        <v>41</v>
      </c>
      <c r="G4" s="17" t="s">
        <v>5</v>
      </c>
      <c r="H4" s="10"/>
      <c r="I4" s="17" t="s">
        <v>164</v>
      </c>
      <c r="L4" s="20"/>
      <c r="N4" s="8" t="s">
        <v>166</v>
      </c>
      <c r="O4" s="8">
        <v>5.0</v>
      </c>
      <c r="P4" s="8" t="s">
        <v>168</v>
      </c>
    </row>
    <row r="5" ht="22.5" customHeight="1">
      <c r="A5" s="8" t="s">
        <v>170</v>
      </c>
      <c r="B5" s="8" t="s">
        <v>40</v>
      </c>
      <c r="C5" s="11">
        <v>46218.0</v>
      </c>
      <c r="D5" s="17" t="s">
        <v>44</v>
      </c>
      <c r="E5" s="8" t="s">
        <v>46</v>
      </c>
      <c r="F5" s="17" t="s">
        <v>47</v>
      </c>
      <c r="G5" s="17" t="s">
        <v>22</v>
      </c>
      <c r="H5" s="10"/>
      <c r="I5" s="17" t="s">
        <v>171</v>
      </c>
      <c r="L5" s="20"/>
      <c r="N5" s="8" t="s">
        <v>172</v>
      </c>
      <c r="O5" s="8">
        <v>4.0</v>
      </c>
      <c r="P5" s="8" t="s">
        <v>173</v>
      </c>
    </row>
    <row r="6" ht="22.5" customHeight="1">
      <c r="A6" s="8" t="s">
        <v>174</v>
      </c>
      <c r="B6" s="8" t="s">
        <v>49</v>
      </c>
      <c r="C6" s="11">
        <v>46219.0</v>
      </c>
      <c r="D6" s="17" t="s">
        <v>55</v>
      </c>
      <c r="E6" s="8" t="s">
        <v>56</v>
      </c>
      <c r="F6" s="17" t="s">
        <v>57</v>
      </c>
      <c r="G6" s="17" t="s">
        <v>22</v>
      </c>
      <c r="H6" s="10"/>
      <c r="I6" s="17" t="s">
        <v>115</v>
      </c>
      <c r="J6" s="8" t="s">
        <v>176</v>
      </c>
      <c r="L6" s="20"/>
      <c r="N6" s="8" t="s">
        <v>177</v>
      </c>
      <c r="O6" s="8">
        <v>1.0</v>
      </c>
      <c r="P6" s="8" t="s">
        <v>178</v>
      </c>
    </row>
    <row r="7" ht="22.5" customHeight="1">
      <c r="A7" s="8" t="s">
        <v>179</v>
      </c>
      <c r="B7" s="8" t="s">
        <v>63</v>
      </c>
      <c r="C7" s="11">
        <v>46219.0</v>
      </c>
      <c r="D7" s="17" t="s">
        <v>37</v>
      </c>
      <c r="E7" s="8" t="s">
        <v>66</v>
      </c>
      <c r="F7" s="17" t="s">
        <v>41</v>
      </c>
      <c r="G7" s="17" t="s">
        <v>5</v>
      </c>
      <c r="H7" s="10"/>
      <c r="I7" s="17" t="s">
        <v>180</v>
      </c>
      <c r="L7" s="20"/>
      <c r="N7" s="8" t="s">
        <v>181</v>
      </c>
      <c r="O7" s="8">
        <v>5.0</v>
      </c>
      <c r="P7" s="8" t="s">
        <v>182</v>
      </c>
    </row>
    <row r="8" ht="22.5" customHeight="1">
      <c r="A8" s="8" t="s">
        <v>183</v>
      </c>
      <c r="B8" s="8" t="s">
        <v>63</v>
      </c>
      <c r="C8" s="11">
        <v>46219.0</v>
      </c>
      <c r="D8" s="17" t="s">
        <v>37</v>
      </c>
      <c r="E8" s="8" t="s">
        <v>66</v>
      </c>
      <c r="F8" s="17" t="s">
        <v>41</v>
      </c>
      <c r="G8" s="17" t="s">
        <v>5</v>
      </c>
      <c r="H8" s="10"/>
      <c r="I8" s="17" t="s">
        <v>180</v>
      </c>
      <c r="L8" s="20"/>
      <c r="N8" s="8" t="s">
        <v>184</v>
      </c>
      <c r="O8" s="8">
        <v>5.0</v>
      </c>
      <c r="P8" s="8" t="s">
        <v>182</v>
      </c>
    </row>
    <row r="9" ht="22.5" customHeight="1">
      <c r="A9" s="8" t="s">
        <v>186</v>
      </c>
      <c r="B9" s="8" t="s">
        <v>78</v>
      </c>
      <c r="C9" s="11">
        <v>46227.0</v>
      </c>
      <c r="D9" s="17" t="s">
        <v>75</v>
      </c>
      <c r="E9" s="8" t="s">
        <v>76</v>
      </c>
      <c r="F9" s="17" t="s">
        <v>20</v>
      </c>
      <c r="G9" s="17" t="s">
        <v>5</v>
      </c>
      <c r="H9" s="10"/>
      <c r="I9" s="17" t="s">
        <v>115</v>
      </c>
      <c r="J9" s="8" t="s">
        <v>187</v>
      </c>
      <c r="L9" s="20"/>
      <c r="N9" s="8" t="s">
        <v>188</v>
      </c>
      <c r="O9" s="8">
        <v>4.0</v>
      </c>
      <c r="P9" s="8" t="s">
        <v>189</v>
      </c>
    </row>
    <row r="10" ht="22.5" customHeight="1">
      <c r="A10" s="13" t="s">
        <v>190</v>
      </c>
      <c r="B10" s="13" t="s">
        <v>84</v>
      </c>
      <c r="C10" s="15">
        <v>46246.0</v>
      </c>
      <c r="D10" s="27" t="s">
        <v>75</v>
      </c>
      <c r="E10" s="13" t="s">
        <v>191</v>
      </c>
      <c r="F10" s="27" t="s">
        <v>47</v>
      </c>
      <c r="G10" s="27" t="s">
        <v>5</v>
      </c>
      <c r="H10" s="28">
        <v>46247.0</v>
      </c>
      <c r="I10" s="27" t="s">
        <v>115</v>
      </c>
      <c r="J10" s="13" t="s">
        <v>192</v>
      </c>
      <c r="K10" s="28">
        <v>46248.0</v>
      </c>
      <c r="L10" s="27" t="s">
        <v>193</v>
      </c>
      <c r="M10" s="13" t="s">
        <v>194</v>
      </c>
      <c r="N10" s="13" t="s">
        <v>195</v>
      </c>
      <c r="O10" s="13">
        <v>4.0</v>
      </c>
      <c r="P10" s="13" t="s">
        <v>189</v>
      </c>
    </row>
    <row r="11" ht="22.5" customHeight="1">
      <c r="A11" s="13" t="s">
        <v>197</v>
      </c>
      <c r="B11" s="13" t="s">
        <v>89</v>
      </c>
      <c r="C11" s="15">
        <v>46252.0</v>
      </c>
      <c r="D11" s="27" t="s">
        <v>44</v>
      </c>
      <c r="E11" s="13" t="s">
        <v>198</v>
      </c>
      <c r="F11" s="27" t="s">
        <v>20</v>
      </c>
      <c r="G11" s="27" t="s">
        <v>22</v>
      </c>
      <c r="H11" s="28">
        <v>46252.0</v>
      </c>
      <c r="I11" s="27" t="s">
        <v>115</v>
      </c>
      <c r="J11" s="13" t="s">
        <v>200</v>
      </c>
      <c r="K11" s="28">
        <v>46253.0</v>
      </c>
      <c r="L11" s="27" t="s">
        <v>193</v>
      </c>
      <c r="M11" s="29"/>
      <c r="N11" s="13" t="s">
        <v>201</v>
      </c>
      <c r="O11" s="13">
        <v>3.0</v>
      </c>
      <c r="P11" s="13" t="s">
        <v>173</v>
      </c>
    </row>
    <row r="12" ht="22.5" customHeight="1">
      <c r="A12" s="13" t="s">
        <v>202</v>
      </c>
      <c r="B12" s="13" t="s">
        <v>100</v>
      </c>
      <c r="C12" s="15">
        <v>46256.0</v>
      </c>
      <c r="D12" s="27" t="s">
        <v>37</v>
      </c>
      <c r="E12" s="13" t="s">
        <v>203</v>
      </c>
      <c r="F12" s="27" t="s">
        <v>41</v>
      </c>
      <c r="G12" s="27" t="s">
        <v>5</v>
      </c>
      <c r="H12" s="28">
        <v>46257.0</v>
      </c>
      <c r="I12" s="27" t="s">
        <v>115</v>
      </c>
      <c r="J12" s="13" t="s">
        <v>204</v>
      </c>
      <c r="K12" s="28">
        <v>46258.0</v>
      </c>
      <c r="L12" s="27" t="s">
        <v>193</v>
      </c>
      <c r="M12" s="29"/>
      <c r="N12" s="13" t="s">
        <v>205</v>
      </c>
      <c r="O12" s="13">
        <v>5.0</v>
      </c>
      <c r="P12" s="13" t="s">
        <v>206</v>
      </c>
    </row>
    <row r="13" ht="22.5" customHeight="1">
      <c r="A13" s="13" t="s">
        <v>208</v>
      </c>
      <c r="B13" s="13" t="s">
        <v>110</v>
      </c>
      <c r="C13" s="15">
        <v>46261.0</v>
      </c>
      <c r="D13" s="27" t="s">
        <v>55</v>
      </c>
      <c r="E13" s="13" t="s">
        <v>209</v>
      </c>
      <c r="F13" s="27" t="s">
        <v>47</v>
      </c>
      <c r="G13" s="27" t="s">
        <v>22</v>
      </c>
      <c r="H13" s="28">
        <v>46262.0</v>
      </c>
      <c r="I13" s="27" t="s">
        <v>171</v>
      </c>
      <c r="J13" s="30"/>
      <c r="K13" s="29"/>
      <c r="L13" s="31"/>
      <c r="M13" s="13" t="s">
        <v>210</v>
      </c>
      <c r="N13" s="13" t="s">
        <v>211</v>
      </c>
      <c r="O13" s="13">
        <v>4.0</v>
      </c>
      <c r="P13" s="13" t="s">
        <v>55</v>
      </c>
    </row>
    <row r="14" ht="22.5" customHeight="1">
      <c r="A14" s="13" t="s">
        <v>213</v>
      </c>
      <c r="B14" s="13" t="s">
        <v>40</v>
      </c>
      <c r="C14" s="15">
        <v>46263.0</v>
      </c>
      <c r="D14" s="27" t="s">
        <v>75</v>
      </c>
      <c r="E14" s="13" t="s">
        <v>215</v>
      </c>
      <c r="F14" s="27" t="s">
        <v>20</v>
      </c>
      <c r="G14" s="27" t="s">
        <v>5</v>
      </c>
      <c r="H14" s="28">
        <v>46263.0</v>
      </c>
      <c r="I14" s="27" t="s">
        <v>115</v>
      </c>
      <c r="J14" s="13" t="s">
        <v>216</v>
      </c>
      <c r="K14" s="28">
        <v>46264.0</v>
      </c>
      <c r="L14" s="27" t="s">
        <v>193</v>
      </c>
      <c r="M14" s="13" t="s">
        <v>218</v>
      </c>
      <c r="N14" s="13" t="s">
        <v>219</v>
      </c>
      <c r="O14" s="13">
        <v>2.0</v>
      </c>
      <c r="P14" s="13" t="s">
        <v>220</v>
      </c>
    </row>
    <row r="15" ht="22.5" customHeight="1">
      <c r="A15" s="13" t="s">
        <v>222</v>
      </c>
      <c r="B15" s="13" t="s">
        <v>119</v>
      </c>
      <c r="C15" s="15">
        <v>46266.0</v>
      </c>
      <c r="D15" s="27" t="s">
        <v>18</v>
      </c>
      <c r="E15" s="13" t="s">
        <v>223</v>
      </c>
      <c r="F15" s="27" t="s">
        <v>47</v>
      </c>
      <c r="G15" s="27" t="s">
        <v>5</v>
      </c>
      <c r="H15" s="28">
        <v>46267.0</v>
      </c>
      <c r="I15" s="27" t="s">
        <v>115</v>
      </c>
      <c r="J15" s="13" t="s">
        <v>224</v>
      </c>
      <c r="K15" s="28">
        <v>46267.0</v>
      </c>
      <c r="L15" s="27" t="s">
        <v>193</v>
      </c>
      <c r="M15" s="29"/>
      <c r="N15" s="13" t="s">
        <v>225</v>
      </c>
      <c r="O15" s="13">
        <v>4.0</v>
      </c>
      <c r="P15" s="13" t="s">
        <v>118</v>
      </c>
    </row>
    <row r="16" ht="22.5" customHeight="1">
      <c r="A16" s="13" t="s">
        <v>226</v>
      </c>
      <c r="B16" s="13" t="s">
        <v>124</v>
      </c>
      <c r="C16" s="15">
        <v>46267.0</v>
      </c>
      <c r="D16" s="27" t="s">
        <v>37</v>
      </c>
      <c r="E16" s="13" t="s">
        <v>227</v>
      </c>
      <c r="F16" s="27" t="s">
        <v>41</v>
      </c>
      <c r="G16" s="27" t="s">
        <v>5</v>
      </c>
      <c r="H16" s="28">
        <v>46268.0</v>
      </c>
      <c r="I16" s="27" t="s">
        <v>171</v>
      </c>
      <c r="J16" s="30"/>
      <c r="K16" s="29"/>
      <c r="L16" s="31"/>
      <c r="M16" s="13" t="s">
        <v>230</v>
      </c>
      <c r="N16" s="13" t="s">
        <v>231</v>
      </c>
      <c r="O16" s="13">
        <v>5.0</v>
      </c>
      <c r="P16" s="13" t="s">
        <v>182</v>
      </c>
    </row>
    <row r="17" ht="22.5" customHeight="1">
      <c r="A17" s="13" t="s">
        <v>232</v>
      </c>
      <c r="B17" s="13" t="s">
        <v>131</v>
      </c>
      <c r="C17" s="15">
        <v>46268.0</v>
      </c>
      <c r="D17" s="27" t="s">
        <v>178</v>
      </c>
      <c r="E17" s="13" t="s">
        <v>233</v>
      </c>
      <c r="F17" s="27" t="s">
        <v>57</v>
      </c>
      <c r="G17" s="27" t="s">
        <v>22</v>
      </c>
      <c r="H17" s="28">
        <v>46268.0</v>
      </c>
      <c r="I17" s="27" t="s">
        <v>115</v>
      </c>
      <c r="J17" s="13" t="s">
        <v>234</v>
      </c>
      <c r="K17" s="28">
        <v>46268.0</v>
      </c>
      <c r="L17" s="27" t="s">
        <v>193</v>
      </c>
      <c r="M17" s="13" t="s">
        <v>235</v>
      </c>
      <c r="N17" s="13" t="s">
        <v>237</v>
      </c>
      <c r="O17" s="13">
        <v>1.0</v>
      </c>
      <c r="P17" s="13" t="s">
        <v>178</v>
      </c>
    </row>
    <row r="18" ht="22.5" customHeight="1">
      <c r="A18" s="13" t="s">
        <v>239</v>
      </c>
      <c r="B18" s="13" t="s">
        <v>138</v>
      </c>
      <c r="C18" s="15">
        <v>46269.0</v>
      </c>
      <c r="D18" s="27" t="s">
        <v>26</v>
      </c>
      <c r="E18" s="13" t="s">
        <v>240</v>
      </c>
      <c r="F18" s="27" t="s">
        <v>30</v>
      </c>
      <c r="G18" s="27" t="s">
        <v>5</v>
      </c>
      <c r="H18" s="28">
        <v>46270.0</v>
      </c>
      <c r="I18" s="27" t="s">
        <v>171</v>
      </c>
      <c r="J18" s="30"/>
      <c r="K18" s="29"/>
      <c r="L18" s="31"/>
      <c r="M18" s="29"/>
      <c r="N18" s="13" t="s">
        <v>241</v>
      </c>
      <c r="O18" s="13">
        <v>5.0</v>
      </c>
      <c r="P18" s="13" t="s">
        <v>168</v>
      </c>
    </row>
    <row r="19" ht="22.5" customHeight="1">
      <c r="A19" s="13" t="s">
        <v>243</v>
      </c>
      <c r="B19" s="13" t="s">
        <v>63</v>
      </c>
      <c r="C19" s="15">
        <v>46269.0</v>
      </c>
      <c r="D19" s="27" t="s">
        <v>44</v>
      </c>
      <c r="E19" s="13" t="s">
        <v>245</v>
      </c>
      <c r="F19" s="27" t="s">
        <v>57</v>
      </c>
      <c r="G19" s="27" t="s">
        <v>22</v>
      </c>
      <c r="H19" s="28">
        <v>46269.0</v>
      </c>
      <c r="I19" s="27" t="s">
        <v>115</v>
      </c>
      <c r="J19" s="13" t="s">
        <v>246</v>
      </c>
      <c r="K19" s="28">
        <v>46269.0</v>
      </c>
      <c r="L19" s="27" t="s">
        <v>193</v>
      </c>
      <c r="M19" s="13" t="s">
        <v>218</v>
      </c>
      <c r="N19" s="13" t="s">
        <v>247</v>
      </c>
      <c r="O19" s="13">
        <v>2.0</v>
      </c>
      <c r="P19" s="13" t="s">
        <v>173</v>
      </c>
    </row>
    <row r="20" ht="22.5" customHeight="1">
      <c r="A20" s="13" t="s">
        <v>249</v>
      </c>
      <c r="B20" s="13" t="s">
        <v>144</v>
      </c>
      <c r="C20" s="15">
        <v>46270.0</v>
      </c>
      <c r="D20" s="27" t="s">
        <v>75</v>
      </c>
      <c r="E20" s="13" t="s">
        <v>250</v>
      </c>
      <c r="F20" s="27" t="s">
        <v>47</v>
      </c>
      <c r="G20" s="27" t="s">
        <v>5</v>
      </c>
      <c r="H20" s="35"/>
      <c r="I20" s="27" t="s">
        <v>180</v>
      </c>
      <c r="J20" s="30"/>
      <c r="K20" s="29"/>
      <c r="L20" s="31"/>
      <c r="M20" s="29"/>
      <c r="N20" s="13" t="s">
        <v>252</v>
      </c>
      <c r="O20" s="13">
        <v>4.0</v>
      </c>
      <c r="P20" s="13" t="s">
        <v>189</v>
      </c>
    </row>
    <row r="21" ht="22.5" customHeight="1">
      <c r="A21" s="13" t="s">
        <v>253</v>
      </c>
      <c r="B21" s="13" t="s">
        <v>149</v>
      </c>
      <c r="C21" s="15">
        <v>46270.0</v>
      </c>
      <c r="D21" s="27" t="s">
        <v>37</v>
      </c>
      <c r="E21" s="13" t="s">
        <v>254</v>
      </c>
      <c r="F21" s="27" t="s">
        <v>41</v>
      </c>
      <c r="G21" s="27" t="s">
        <v>5</v>
      </c>
      <c r="H21" s="28">
        <v>46271.0</v>
      </c>
      <c r="I21" s="27" t="s">
        <v>115</v>
      </c>
      <c r="J21" s="13" t="s">
        <v>255</v>
      </c>
      <c r="K21" s="28">
        <v>46271.0</v>
      </c>
      <c r="L21" s="27" t="s">
        <v>193</v>
      </c>
      <c r="M21" s="29"/>
      <c r="N21" s="13" t="s">
        <v>257</v>
      </c>
      <c r="O21" s="13">
        <v>5.0</v>
      </c>
      <c r="P21" s="13" t="s">
        <v>182</v>
      </c>
    </row>
    <row r="22" ht="22.5" customHeight="1">
      <c r="A22" s="13" t="s">
        <v>259</v>
      </c>
      <c r="B22" s="13" t="s">
        <v>84</v>
      </c>
      <c r="C22" s="15">
        <v>46270.0</v>
      </c>
      <c r="D22" s="27" t="s">
        <v>55</v>
      </c>
      <c r="E22" s="13" t="s">
        <v>260</v>
      </c>
      <c r="F22" s="27" t="s">
        <v>47</v>
      </c>
      <c r="G22" s="27" t="s">
        <v>22</v>
      </c>
      <c r="H22" s="28">
        <v>46271.0</v>
      </c>
      <c r="I22" s="27" t="s">
        <v>171</v>
      </c>
      <c r="J22" s="30"/>
      <c r="K22" s="29"/>
      <c r="L22" s="31"/>
      <c r="M22" s="13" t="s">
        <v>262</v>
      </c>
      <c r="N22" s="13" t="s">
        <v>263</v>
      </c>
      <c r="O22" s="13">
        <v>4.0</v>
      </c>
      <c r="P22" s="13" t="s">
        <v>55</v>
      </c>
    </row>
    <row r="23" ht="22.5" customHeight="1">
      <c r="A23" s="13" t="s">
        <v>265</v>
      </c>
      <c r="B23" s="13" t="s">
        <v>154</v>
      </c>
      <c r="C23" s="15">
        <v>46271.0</v>
      </c>
      <c r="D23" s="27" t="s">
        <v>55</v>
      </c>
      <c r="E23" s="13" t="s">
        <v>266</v>
      </c>
      <c r="F23" s="27" t="s">
        <v>57</v>
      </c>
      <c r="G23" s="27" t="s">
        <v>22</v>
      </c>
      <c r="H23" s="35"/>
      <c r="I23" s="27" t="s">
        <v>115</v>
      </c>
      <c r="J23" s="13" t="s">
        <v>267</v>
      </c>
      <c r="K23" s="28">
        <v>46271.0</v>
      </c>
      <c r="L23" s="27" t="s">
        <v>193</v>
      </c>
      <c r="M23" s="13" t="s">
        <v>268</v>
      </c>
      <c r="N23" s="13" t="s">
        <v>269</v>
      </c>
      <c r="O23" s="13">
        <v>1.0</v>
      </c>
      <c r="P23" s="13" t="s">
        <v>178</v>
      </c>
    </row>
    <row r="24" ht="22.5" customHeight="1">
      <c r="A24" s="13" t="s">
        <v>271</v>
      </c>
      <c r="B24" s="13" t="s">
        <v>161</v>
      </c>
      <c r="C24" s="15">
        <v>46271.0</v>
      </c>
      <c r="D24" s="27" t="s">
        <v>18</v>
      </c>
      <c r="E24" s="13" t="s">
        <v>273</v>
      </c>
      <c r="F24" s="27" t="s">
        <v>57</v>
      </c>
      <c r="G24" s="27" t="s">
        <v>22</v>
      </c>
      <c r="H24" s="35"/>
      <c r="I24" s="27" t="s">
        <v>115</v>
      </c>
      <c r="J24" s="13" t="s">
        <v>274</v>
      </c>
      <c r="K24" s="28">
        <v>46271.0</v>
      </c>
      <c r="L24" s="27" t="s">
        <v>193</v>
      </c>
      <c r="M24" s="29"/>
      <c r="N24" s="13" t="s">
        <v>275</v>
      </c>
      <c r="O24" s="13">
        <v>2.0</v>
      </c>
      <c r="P24" s="13" t="s">
        <v>118</v>
      </c>
    </row>
    <row r="25" ht="22.5" customHeight="1">
      <c r="A25" s="13" t="s">
        <v>276</v>
      </c>
      <c r="B25" s="13" t="s">
        <v>100</v>
      </c>
      <c r="C25" s="15">
        <v>46270.0</v>
      </c>
      <c r="D25" s="27" t="s">
        <v>26</v>
      </c>
      <c r="E25" s="13" t="s">
        <v>278</v>
      </c>
      <c r="F25" s="27" t="s">
        <v>30</v>
      </c>
      <c r="G25" s="27" t="s">
        <v>5</v>
      </c>
      <c r="H25" s="28">
        <v>46271.0</v>
      </c>
      <c r="I25" s="27" t="s">
        <v>171</v>
      </c>
      <c r="J25" s="30"/>
      <c r="K25" s="29"/>
      <c r="L25" s="31"/>
      <c r="M25" s="13" t="s">
        <v>218</v>
      </c>
      <c r="N25" s="13" t="s">
        <v>280</v>
      </c>
      <c r="O25" s="13">
        <v>5.0</v>
      </c>
      <c r="P25" s="13" t="s">
        <v>182</v>
      </c>
    </row>
    <row r="26" ht="22.5" customHeight="1">
      <c r="A26" s="13" t="s">
        <v>281</v>
      </c>
      <c r="B26" s="13" t="s">
        <v>124</v>
      </c>
      <c r="C26" s="15">
        <v>46270.0</v>
      </c>
      <c r="D26" s="27" t="s">
        <v>75</v>
      </c>
      <c r="E26" s="13" t="s">
        <v>282</v>
      </c>
      <c r="F26" s="27" t="s">
        <v>47</v>
      </c>
      <c r="G26" s="27" t="s">
        <v>5</v>
      </c>
      <c r="H26" s="35"/>
      <c r="I26" s="27" t="s">
        <v>180</v>
      </c>
      <c r="J26" s="30"/>
      <c r="K26" s="29"/>
      <c r="L26" s="31"/>
      <c r="M26" s="29"/>
      <c r="N26" s="13" t="s">
        <v>283</v>
      </c>
      <c r="O26" s="13">
        <v>5.0</v>
      </c>
      <c r="P26" s="13" t="s">
        <v>189</v>
      </c>
    </row>
    <row r="27" ht="22.5" customHeight="1">
      <c r="A27" s="13" t="s">
        <v>286</v>
      </c>
      <c r="B27" s="13" t="s">
        <v>110</v>
      </c>
      <c r="C27" s="15">
        <v>46267.0</v>
      </c>
      <c r="D27" s="27" t="s">
        <v>55</v>
      </c>
      <c r="E27" s="13" t="s">
        <v>287</v>
      </c>
      <c r="F27" s="27" t="s">
        <v>41</v>
      </c>
      <c r="G27" s="27" t="s">
        <v>5</v>
      </c>
      <c r="H27" s="28">
        <v>46268.0</v>
      </c>
      <c r="I27" s="27" t="s">
        <v>164</v>
      </c>
      <c r="J27" s="30"/>
      <c r="K27" s="28">
        <v>46269.0</v>
      </c>
      <c r="L27" s="27" t="s">
        <v>288</v>
      </c>
      <c r="M27" s="13" t="s">
        <v>289</v>
      </c>
      <c r="N27" s="13" t="s">
        <v>290</v>
      </c>
      <c r="O27" s="13">
        <v>5.0</v>
      </c>
      <c r="P27" s="13" t="s">
        <v>55</v>
      </c>
    </row>
    <row r="28" ht="22.5" customHeight="1">
      <c r="A28" s="13" t="s">
        <v>291</v>
      </c>
      <c r="B28" s="13" t="s">
        <v>138</v>
      </c>
      <c r="C28" s="15">
        <v>46270.0</v>
      </c>
      <c r="D28" s="27" t="s">
        <v>44</v>
      </c>
      <c r="E28" s="13" t="s">
        <v>292</v>
      </c>
      <c r="F28" s="27" t="s">
        <v>20</v>
      </c>
      <c r="G28" s="27" t="s">
        <v>22</v>
      </c>
      <c r="H28" s="35"/>
      <c r="I28" s="27" t="s">
        <v>180</v>
      </c>
      <c r="J28" s="30"/>
      <c r="K28" s="29"/>
      <c r="L28" s="31"/>
      <c r="M28" s="29"/>
      <c r="N28" s="13" t="s">
        <v>293</v>
      </c>
      <c r="O28" s="13">
        <v>3.0</v>
      </c>
      <c r="P28" s="13" t="s">
        <v>173</v>
      </c>
    </row>
    <row r="29" ht="22.5" customHeight="1">
      <c r="A29" s="13" t="s">
        <v>295</v>
      </c>
      <c r="B29" s="13" t="s">
        <v>119</v>
      </c>
      <c r="C29" s="15">
        <v>46249.0</v>
      </c>
      <c r="D29" s="27" t="s">
        <v>37</v>
      </c>
      <c r="E29" s="13" t="s">
        <v>296</v>
      </c>
      <c r="F29" s="27" t="s">
        <v>41</v>
      </c>
      <c r="G29" s="27" t="s">
        <v>5</v>
      </c>
      <c r="H29" s="28">
        <v>46250.0</v>
      </c>
      <c r="I29" s="27" t="s">
        <v>164</v>
      </c>
      <c r="J29" s="30"/>
      <c r="K29" s="28">
        <v>46252.0</v>
      </c>
      <c r="L29" s="27" t="s">
        <v>288</v>
      </c>
      <c r="M29" s="13" t="s">
        <v>297</v>
      </c>
      <c r="N29" s="13" t="s">
        <v>298</v>
      </c>
      <c r="O29" s="13">
        <v>5.0</v>
      </c>
      <c r="P29" s="13" t="s">
        <v>140</v>
      </c>
    </row>
    <row r="30" ht="22.5" customHeight="1">
      <c r="A30" s="13" t="s">
        <v>299</v>
      </c>
      <c r="B30" s="13" t="s">
        <v>131</v>
      </c>
      <c r="C30" s="15">
        <v>46254.0</v>
      </c>
      <c r="D30" s="27" t="s">
        <v>75</v>
      </c>
      <c r="E30" s="13" t="s">
        <v>300</v>
      </c>
      <c r="F30" s="27" t="s">
        <v>47</v>
      </c>
      <c r="G30" s="27" t="s">
        <v>22</v>
      </c>
      <c r="H30" s="28">
        <v>46255.0</v>
      </c>
      <c r="I30" s="27" t="s">
        <v>115</v>
      </c>
      <c r="J30" s="13" t="s">
        <v>301</v>
      </c>
      <c r="K30" s="28">
        <v>46255.0</v>
      </c>
      <c r="L30" s="27" t="s">
        <v>193</v>
      </c>
      <c r="M30" s="29"/>
      <c r="N30" s="13" t="s">
        <v>302</v>
      </c>
      <c r="O30" s="13">
        <v>4.0</v>
      </c>
      <c r="P30" s="13" t="s">
        <v>189</v>
      </c>
    </row>
    <row r="31" ht="22.5" customHeight="1">
      <c r="A31" s="13" t="s">
        <v>304</v>
      </c>
      <c r="B31" s="13" t="s">
        <v>89</v>
      </c>
      <c r="C31" s="15">
        <v>46259.0</v>
      </c>
      <c r="D31" s="27" t="s">
        <v>37</v>
      </c>
      <c r="E31" s="13" t="s">
        <v>305</v>
      </c>
      <c r="F31" s="27" t="s">
        <v>41</v>
      </c>
      <c r="G31" s="27" t="s">
        <v>5</v>
      </c>
      <c r="H31" s="28">
        <v>46260.0</v>
      </c>
      <c r="I31" s="27" t="s">
        <v>115</v>
      </c>
      <c r="J31" s="13" t="s">
        <v>306</v>
      </c>
      <c r="K31" s="28">
        <v>46261.0</v>
      </c>
      <c r="L31" s="27" t="s">
        <v>193</v>
      </c>
      <c r="M31" s="29"/>
      <c r="N31" s="13" t="s">
        <v>307</v>
      </c>
      <c r="O31" s="13">
        <v>5.0</v>
      </c>
      <c r="P31" s="13" t="s">
        <v>182</v>
      </c>
    </row>
  </sheetData>
  <dataValidations>
    <dataValidation type="list" allowBlank="1" sqref="F2:F31">
      <formula1>"Today,Within 2-3 days,Within a week,Flexible,Just looking for a quote"</formula1>
    </dataValidation>
    <dataValidation type="list" allowBlank="1" sqref="G2:G31">
      <formula1>"Email,Phone"</formula1>
    </dataValidation>
    <dataValidation type="list" allowBlank="1" sqref="L2:L31">
      <formula1>"Accepted,Price Issue,Competitor,No Response,Timing,Other"</formula1>
    </dataValidation>
    <dataValidation type="custom" allowBlank="1" showDropDown="1" sqref="C2:C31 H2:H31">
      <formula1>OR(NOT(ISERROR(DATEVALUE(C2))), AND(ISNUMBER(C2), LEFT(CELL("format", C2))="D"))</formula1>
    </dataValidation>
    <dataValidation type="list" allowBlank="1" sqref="D2:D31">
      <formula1>"Toilet issues,Leak,Blocked Drain,Boiler,Installation,General Plumbing,Quote Request,Other"</formula1>
    </dataValidation>
    <dataValidation type="list" allowBlank="1" sqref="I2:I31">
      <formula1>"New,Quoted,Converted,Awaiting Customer,Closed,Approved"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0.0"/>
    <col customWidth="1" min="3" max="3" width="19.88"/>
    <col customWidth="1" min="4" max="6" width="22.63"/>
  </cols>
  <sheetData>
    <row r="1" ht="22.5" customHeight="1">
      <c r="A1" s="2" t="s">
        <v>32</v>
      </c>
      <c r="B1" s="2" t="s">
        <v>3</v>
      </c>
      <c r="C1" s="2" t="s">
        <v>4</v>
      </c>
      <c r="D1" s="2" t="s">
        <v>5</v>
      </c>
      <c r="E1" s="5" t="s">
        <v>45</v>
      </c>
    </row>
    <row r="2" ht="22.5" customHeight="1">
      <c r="A2" s="8" t="s">
        <v>185</v>
      </c>
      <c r="B2" s="8" t="s">
        <v>303</v>
      </c>
      <c r="C2" s="36">
        <v>8.253653001E9</v>
      </c>
      <c r="D2" s="8" t="s">
        <v>311</v>
      </c>
      <c r="E2" s="17" t="s">
        <v>312</v>
      </c>
    </row>
    <row r="3" ht="22.5" customHeight="1">
      <c r="A3" s="8" t="s">
        <v>228</v>
      </c>
      <c r="B3" s="8" t="s">
        <v>229</v>
      </c>
      <c r="C3" s="36">
        <v>8.253653002E9</v>
      </c>
      <c r="D3" s="8" t="s">
        <v>314</v>
      </c>
      <c r="E3" s="17" t="s">
        <v>315</v>
      </c>
    </row>
    <row r="4" ht="22.5" customHeight="1">
      <c r="A4" s="8" t="s">
        <v>242</v>
      </c>
      <c r="B4" s="8" t="s">
        <v>244</v>
      </c>
      <c r="C4" s="36">
        <v>8.253653003E9</v>
      </c>
      <c r="D4" s="8" t="s">
        <v>317</v>
      </c>
      <c r="E4" s="17" t="s">
        <v>315</v>
      </c>
    </row>
    <row r="5" ht="22.5" customHeight="1">
      <c r="A5" s="8" t="s">
        <v>158</v>
      </c>
      <c r="B5" s="8" t="s">
        <v>310</v>
      </c>
      <c r="C5" s="36">
        <v>8.253653004E9</v>
      </c>
      <c r="D5" s="8" t="s">
        <v>318</v>
      </c>
      <c r="E5" s="17" t="s">
        <v>312</v>
      </c>
    </row>
    <row r="6" ht="22.5" customHeight="1">
      <c r="A6" s="8" t="s">
        <v>256</v>
      </c>
      <c r="B6" s="8" t="s">
        <v>258</v>
      </c>
      <c r="C6" s="36">
        <v>8.253653005E9</v>
      </c>
      <c r="D6" s="8" t="s">
        <v>319</v>
      </c>
      <c r="E6" s="17" t="s">
        <v>315</v>
      </c>
    </row>
    <row r="7" ht="22.5" customHeight="1">
      <c r="A7" s="8" t="s">
        <v>207</v>
      </c>
      <c r="B7" s="8" t="s">
        <v>320</v>
      </c>
      <c r="C7" s="36">
        <v>8.253653006E9</v>
      </c>
      <c r="D7" s="8" t="s">
        <v>321</v>
      </c>
      <c r="E7" s="17" t="s">
        <v>315</v>
      </c>
    </row>
    <row r="8" ht="22.5" customHeight="1">
      <c r="A8" s="8" t="s">
        <v>270</v>
      </c>
      <c r="B8" s="8" t="s">
        <v>272</v>
      </c>
      <c r="C8" s="36">
        <v>8.253653007E9</v>
      </c>
      <c r="D8" s="8" t="s">
        <v>322</v>
      </c>
      <c r="E8" s="17" t="s">
        <v>315</v>
      </c>
    </row>
    <row r="9" ht="22.5" customHeight="1">
      <c r="A9" s="8" t="s">
        <v>284</v>
      </c>
      <c r="B9" s="8" t="s">
        <v>285</v>
      </c>
      <c r="C9" s="36">
        <v>8.253653008E9</v>
      </c>
      <c r="D9" s="8" t="s">
        <v>323</v>
      </c>
      <c r="E9" s="17" t="s">
        <v>315</v>
      </c>
    </row>
    <row r="10" ht="22.5" customHeight="1">
      <c r="A10" s="8" t="s">
        <v>324</v>
      </c>
      <c r="B10" s="8" t="s">
        <v>325</v>
      </c>
      <c r="C10" s="36">
        <v>8.253653009E9</v>
      </c>
      <c r="D10" s="8" t="s">
        <v>326</v>
      </c>
      <c r="E10" s="17" t="s">
        <v>315</v>
      </c>
    </row>
    <row r="11" ht="22.5" customHeight="1">
      <c r="A11" s="8" t="s">
        <v>328</v>
      </c>
      <c r="B11" s="8" t="s">
        <v>329</v>
      </c>
      <c r="C11" s="36">
        <v>8.25365301E9</v>
      </c>
      <c r="D11" s="8" t="s">
        <v>330</v>
      </c>
      <c r="E11" s="17" t="s">
        <v>315</v>
      </c>
    </row>
    <row r="12" ht="22.5" customHeight="1">
      <c r="A12" s="8" t="s">
        <v>331</v>
      </c>
      <c r="B12" s="8" t="s">
        <v>332</v>
      </c>
      <c r="C12" s="36">
        <v>8.253653011E9</v>
      </c>
      <c r="D12" s="8" t="s">
        <v>333</v>
      </c>
      <c r="E12" s="17" t="s">
        <v>315</v>
      </c>
    </row>
    <row r="13" ht="22.5" customHeight="1">
      <c r="A13" s="8" t="s">
        <v>334</v>
      </c>
      <c r="B13" s="8" t="s">
        <v>335</v>
      </c>
      <c r="C13" s="36">
        <v>8.253653012E9</v>
      </c>
      <c r="D13" s="8" t="s">
        <v>336</v>
      </c>
      <c r="E13" s="17" t="s">
        <v>315</v>
      </c>
    </row>
    <row r="14">
      <c r="A14" s="24"/>
      <c r="B14" s="24"/>
      <c r="C14" s="37"/>
      <c r="D14" s="24"/>
    </row>
    <row r="15">
      <c r="A15" s="24"/>
      <c r="B15" s="24"/>
      <c r="C15" s="37"/>
      <c r="D15" s="24"/>
    </row>
    <row r="16">
      <c r="A16" s="24"/>
      <c r="B16" s="24"/>
      <c r="C16" s="37"/>
      <c r="D16" s="24"/>
    </row>
    <row r="17">
      <c r="A17" s="24"/>
      <c r="B17" s="24"/>
      <c r="C17" s="37"/>
      <c r="D17" s="24"/>
    </row>
    <row r="18">
      <c r="A18" s="24"/>
      <c r="B18" s="24"/>
      <c r="C18" s="37"/>
      <c r="D18" s="24"/>
    </row>
    <row r="19">
      <c r="A19" s="24"/>
      <c r="B19" s="24"/>
      <c r="C19" s="37"/>
      <c r="D19" s="24"/>
    </row>
    <row r="20">
      <c r="A20" s="24"/>
      <c r="B20" s="24"/>
      <c r="C20" s="37"/>
      <c r="D20" s="24"/>
    </row>
    <row r="21">
      <c r="A21" s="24"/>
      <c r="B21" s="24"/>
      <c r="C21" s="37"/>
      <c r="D21" s="24"/>
    </row>
    <row r="22">
      <c r="A22" s="24"/>
      <c r="B22" s="24"/>
      <c r="C22" s="37"/>
      <c r="D22" s="24"/>
    </row>
    <row r="23">
      <c r="A23" s="24"/>
      <c r="B23" s="24"/>
      <c r="C23" s="37"/>
      <c r="D23" s="24"/>
    </row>
    <row r="24">
      <c r="A24" s="24"/>
      <c r="B24" s="24"/>
      <c r="C24" s="37"/>
      <c r="D24" s="24"/>
    </row>
    <row r="25">
      <c r="A25" s="24"/>
      <c r="B25" s="24"/>
      <c r="C25" s="37"/>
      <c r="D25" s="24"/>
    </row>
    <row r="26">
      <c r="A26" s="24"/>
      <c r="B26" s="24"/>
      <c r="C26" s="37"/>
      <c r="D26" s="24"/>
    </row>
    <row r="27">
      <c r="A27" s="24"/>
      <c r="B27" s="24"/>
      <c r="C27" s="37"/>
      <c r="D27" s="24"/>
    </row>
    <row r="28">
      <c r="A28" s="24"/>
      <c r="B28" s="24"/>
      <c r="C28" s="37"/>
      <c r="D28" s="24"/>
    </row>
    <row r="29">
      <c r="A29" s="24"/>
      <c r="B29" s="24"/>
      <c r="C29" s="37"/>
      <c r="D29" s="24"/>
    </row>
    <row r="30">
      <c r="A30" s="24"/>
      <c r="B30" s="24"/>
      <c r="C30" s="37"/>
      <c r="D30" s="24"/>
    </row>
    <row r="31">
      <c r="A31" s="24"/>
      <c r="B31" s="24"/>
      <c r="C31" s="37"/>
      <c r="D31" s="24"/>
    </row>
    <row r="32">
      <c r="A32" s="24"/>
      <c r="B32" s="24"/>
      <c r="C32" s="37"/>
      <c r="D32" s="24"/>
    </row>
    <row r="33">
      <c r="A33" s="24"/>
      <c r="B33" s="24"/>
      <c r="C33" s="37"/>
      <c r="D33" s="24"/>
    </row>
    <row r="34">
      <c r="A34" s="24"/>
      <c r="B34" s="24"/>
      <c r="C34" s="37"/>
      <c r="D34" s="24"/>
    </row>
    <row r="35">
      <c r="A35" s="24"/>
      <c r="B35" s="24"/>
      <c r="C35" s="37"/>
      <c r="D35" s="24"/>
    </row>
    <row r="36">
      <c r="A36" s="24"/>
      <c r="B36" s="24"/>
      <c r="C36" s="37"/>
      <c r="D36" s="24"/>
    </row>
    <row r="37">
      <c r="A37" s="24"/>
      <c r="B37" s="24"/>
      <c r="C37" s="37"/>
      <c r="D37" s="24"/>
    </row>
    <row r="38">
      <c r="A38" s="24"/>
      <c r="B38" s="24"/>
      <c r="C38" s="37"/>
      <c r="D38" s="24"/>
    </row>
    <row r="39">
      <c r="A39" s="24"/>
      <c r="B39" s="24"/>
      <c r="C39" s="37"/>
      <c r="D39" s="24"/>
    </row>
    <row r="40">
      <c r="A40" s="24"/>
      <c r="B40" s="24"/>
      <c r="C40" s="37"/>
      <c r="D40" s="24"/>
    </row>
    <row r="41">
      <c r="A41" s="24"/>
      <c r="B41" s="24"/>
      <c r="C41" s="37"/>
      <c r="D41" s="24"/>
    </row>
    <row r="42">
      <c r="A42" s="24"/>
      <c r="B42" s="24"/>
      <c r="C42" s="37"/>
      <c r="D42" s="24"/>
    </row>
    <row r="43">
      <c r="A43" s="24"/>
      <c r="B43" s="24"/>
      <c r="C43" s="37"/>
      <c r="D43" s="24"/>
    </row>
    <row r="44">
      <c r="A44" s="24"/>
      <c r="B44" s="24"/>
      <c r="C44" s="37"/>
      <c r="D44" s="24"/>
    </row>
    <row r="45">
      <c r="A45" s="24"/>
      <c r="B45" s="24"/>
      <c r="C45" s="37"/>
      <c r="D45" s="24"/>
    </row>
    <row r="46">
      <c r="A46" s="24"/>
      <c r="B46" s="24"/>
      <c r="C46" s="37"/>
      <c r="D46" s="24"/>
    </row>
    <row r="47">
      <c r="A47" s="24"/>
      <c r="B47" s="24"/>
      <c r="C47" s="37"/>
      <c r="D47" s="24"/>
    </row>
    <row r="48">
      <c r="A48" s="24"/>
      <c r="B48" s="24"/>
      <c r="C48" s="37"/>
      <c r="D48" s="24"/>
    </row>
    <row r="49">
      <c r="A49" s="24"/>
      <c r="B49" s="24"/>
      <c r="C49" s="37"/>
      <c r="D49" s="24"/>
    </row>
    <row r="50">
      <c r="A50" s="24"/>
      <c r="B50" s="24"/>
      <c r="C50" s="37"/>
      <c r="D50" s="24"/>
    </row>
    <row r="51">
      <c r="A51" s="24"/>
      <c r="B51" s="24"/>
      <c r="C51" s="37"/>
      <c r="D51" s="24"/>
    </row>
    <row r="52">
      <c r="A52" s="24"/>
      <c r="B52" s="24"/>
      <c r="C52" s="37"/>
      <c r="D52" s="24"/>
    </row>
    <row r="53">
      <c r="A53" s="24"/>
      <c r="B53" s="24"/>
      <c r="C53" s="37"/>
      <c r="D53" s="24"/>
    </row>
    <row r="54">
      <c r="A54" s="24"/>
      <c r="B54" s="24"/>
      <c r="C54" s="37"/>
      <c r="D54" s="24"/>
    </row>
    <row r="55">
      <c r="A55" s="24"/>
      <c r="B55" s="24"/>
      <c r="C55" s="37"/>
      <c r="D55" s="24"/>
    </row>
    <row r="56">
      <c r="A56" s="24"/>
      <c r="B56" s="24"/>
      <c r="C56" s="37"/>
      <c r="D56" s="24"/>
    </row>
    <row r="57">
      <c r="A57" s="24"/>
      <c r="B57" s="24"/>
      <c r="C57" s="37"/>
      <c r="D57" s="24"/>
    </row>
    <row r="58">
      <c r="A58" s="24"/>
      <c r="B58" s="24"/>
      <c r="C58" s="37"/>
      <c r="D58" s="24"/>
    </row>
    <row r="59">
      <c r="A59" s="24"/>
      <c r="B59" s="24"/>
      <c r="C59" s="37"/>
      <c r="D59" s="24"/>
    </row>
    <row r="60">
      <c r="A60" s="24"/>
      <c r="B60" s="24"/>
      <c r="C60" s="37"/>
      <c r="D60" s="24"/>
    </row>
    <row r="61">
      <c r="A61" s="24"/>
      <c r="B61" s="24"/>
      <c r="C61" s="37"/>
      <c r="D61" s="24"/>
    </row>
    <row r="62">
      <c r="A62" s="24"/>
      <c r="B62" s="24"/>
      <c r="C62" s="37"/>
      <c r="D62" s="24"/>
    </row>
    <row r="63">
      <c r="A63" s="24"/>
      <c r="B63" s="24"/>
      <c r="C63" s="37"/>
      <c r="D63" s="24"/>
    </row>
    <row r="64">
      <c r="A64" s="24"/>
      <c r="B64" s="24"/>
      <c r="C64" s="37"/>
      <c r="D64" s="24"/>
    </row>
    <row r="65">
      <c r="A65" s="24"/>
      <c r="B65" s="24"/>
      <c r="C65" s="37"/>
      <c r="D65" s="24"/>
    </row>
    <row r="66">
      <c r="A66" s="24"/>
      <c r="B66" s="24"/>
      <c r="C66" s="37"/>
      <c r="D66" s="24"/>
    </row>
    <row r="67">
      <c r="A67" s="24"/>
      <c r="B67" s="24"/>
      <c r="C67" s="37"/>
      <c r="D67" s="24"/>
    </row>
    <row r="68">
      <c r="A68" s="24"/>
      <c r="B68" s="24"/>
      <c r="C68" s="37"/>
      <c r="D68" s="24"/>
    </row>
    <row r="69">
      <c r="A69" s="24"/>
      <c r="B69" s="24"/>
      <c r="C69" s="37"/>
      <c r="D69" s="24"/>
    </row>
    <row r="70">
      <c r="A70" s="24"/>
      <c r="B70" s="24"/>
      <c r="C70" s="37"/>
      <c r="D70" s="24"/>
    </row>
    <row r="71">
      <c r="A71" s="24"/>
      <c r="B71" s="24"/>
      <c r="C71" s="37"/>
      <c r="D71" s="24"/>
    </row>
    <row r="72">
      <c r="A72" s="24"/>
      <c r="B72" s="24"/>
      <c r="C72" s="37"/>
      <c r="D72" s="24"/>
    </row>
    <row r="73">
      <c r="A73" s="24"/>
      <c r="B73" s="24"/>
      <c r="C73" s="37"/>
      <c r="D73" s="24"/>
    </row>
    <row r="74">
      <c r="A74" s="24"/>
      <c r="B74" s="24"/>
      <c r="C74" s="37"/>
      <c r="D74" s="24"/>
    </row>
    <row r="75">
      <c r="A75" s="24"/>
      <c r="B75" s="24"/>
      <c r="C75" s="37"/>
      <c r="D75" s="24"/>
    </row>
    <row r="76">
      <c r="A76" s="24"/>
      <c r="B76" s="24"/>
      <c r="C76" s="37"/>
      <c r="D76" s="24"/>
    </row>
    <row r="77">
      <c r="A77" s="24"/>
      <c r="B77" s="24"/>
      <c r="C77" s="37"/>
      <c r="D77" s="24"/>
    </row>
    <row r="78">
      <c r="A78" s="24"/>
      <c r="B78" s="24"/>
      <c r="C78" s="37"/>
      <c r="D78" s="24"/>
    </row>
    <row r="79">
      <c r="A79" s="24"/>
      <c r="B79" s="24"/>
      <c r="C79" s="37"/>
      <c r="D79" s="24"/>
    </row>
    <row r="80">
      <c r="A80" s="24"/>
      <c r="B80" s="24"/>
      <c r="C80" s="37"/>
      <c r="D80" s="24"/>
    </row>
    <row r="81">
      <c r="A81" s="24"/>
      <c r="B81" s="24"/>
      <c r="C81" s="37"/>
      <c r="D81" s="24"/>
    </row>
    <row r="82">
      <c r="A82" s="24"/>
      <c r="B82" s="24"/>
      <c r="C82" s="37"/>
      <c r="D82" s="24"/>
    </row>
    <row r="83">
      <c r="A83" s="24"/>
      <c r="B83" s="24"/>
      <c r="C83" s="37"/>
      <c r="D83" s="24"/>
    </row>
    <row r="84">
      <c r="A84" s="24"/>
      <c r="B84" s="24"/>
      <c r="C84" s="37"/>
      <c r="D84" s="24"/>
    </row>
    <row r="85">
      <c r="A85" s="24"/>
      <c r="B85" s="24"/>
      <c r="C85" s="37"/>
      <c r="D85" s="24"/>
    </row>
    <row r="86">
      <c r="A86" s="24"/>
      <c r="B86" s="24"/>
      <c r="C86" s="37"/>
      <c r="D86" s="24"/>
    </row>
    <row r="87">
      <c r="A87" s="24"/>
      <c r="B87" s="24"/>
      <c r="C87" s="37"/>
      <c r="D87" s="24"/>
    </row>
    <row r="88">
      <c r="A88" s="24"/>
      <c r="B88" s="24"/>
      <c r="C88" s="37"/>
      <c r="D88" s="24"/>
    </row>
    <row r="89">
      <c r="A89" s="24"/>
      <c r="B89" s="24"/>
      <c r="C89" s="37"/>
      <c r="D89" s="24"/>
    </row>
    <row r="90">
      <c r="A90" s="24"/>
      <c r="B90" s="24"/>
      <c r="C90" s="37"/>
      <c r="D90" s="24"/>
    </row>
    <row r="91">
      <c r="A91" s="24"/>
      <c r="B91" s="24"/>
      <c r="C91" s="37"/>
      <c r="D91" s="24"/>
    </row>
    <row r="92">
      <c r="A92" s="24"/>
      <c r="B92" s="24"/>
      <c r="C92" s="37"/>
      <c r="D92" s="24"/>
    </row>
    <row r="93">
      <c r="A93" s="24"/>
      <c r="B93" s="24"/>
      <c r="C93" s="37"/>
      <c r="D93" s="24"/>
    </row>
    <row r="94">
      <c r="A94" s="24"/>
      <c r="B94" s="24"/>
      <c r="C94" s="37"/>
      <c r="D94" s="24"/>
    </row>
    <row r="95">
      <c r="A95" s="24"/>
      <c r="B95" s="24"/>
      <c r="C95" s="37"/>
      <c r="D95" s="24"/>
    </row>
    <row r="96">
      <c r="A96" s="24"/>
      <c r="B96" s="24"/>
      <c r="C96" s="37"/>
      <c r="D96" s="24"/>
    </row>
    <row r="97">
      <c r="A97" s="24"/>
      <c r="B97" s="24"/>
      <c r="C97" s="37"/>
      <c r="D97" s="24"/>
    </row>
    <row r="98">
      <c r="A98" s="24"/>
      <c r="B98" s="24"/>
      <c r="C98" s="37"/>
      <c r="D98" s="24"/>
    </row>
    <row r="99">
      <c r="A99" s="24"/>
      <c r="B99" s="24"/>
      <c r="C99" s="37"/>
      <c r="D99" s="24"/>
    </row>
    <row r="100">
      <c r="A100" s="24"/>
      <c r="B100" s="24"/>
      <c r="C100" s="37"/>
      <c r="D100" s="24"/>
    </row>
    <row r="101">
      <c r="A101" s="24"/>
      <c r="B101" s="24"/>
      <c r="C101" s="37"/>
      <c r="D101" s="24"/>
    </row>
    <row r="102">
      <c r="A102" s="24"/>
      <c r="B102" s="24"/>
      <c r="C102" s="37"/>
      <c r="D102" s="24"/>
    </row>
    <row r="103">
      <c r="A103" s="24"/>
      <c r="B103" s="24"/>
      <c r="C103" s="37"/>
      <c r="D103" s="24"/>
    </row>
    <row r="104">
      <c r="A104" s="24"/>
      <c r="B104" s="24"/>
      <c r="C104" s="37"/>
      <c r="D104" s="24"/>
    </row>
    <row r="105">
      <c r="A105" s="24"/>
      <c r="B105" s="24"/>
      <c r="C105" s="37"/>
      <c r="D105" s="24"/>
    </row>
    <row r="106">
      <c r="A106" s="24"/>
      <c r="B106" s="24"/>
      <c r="C106" s="37"/>
      <c r="D106" s="24"/>
    </row>
    <row r="107">
      <c r="A107" s="24"/>
      <c r="B107" s="24"/>
      <c r="C107" s="37"/>
      <c r="D107" s="24"/>
    </row>
    <row r="108">
      <c r="A108" s="24"/>
      <c r="B108" s="24"/>
      <c r="C108" s="37"/>
      <c r="D108" s="24"/>
    </row>
    <row r="109">
      <c r="A109" s="24"/>
      <c r="B109" s="24"/>
      <c r="C109" s="37"/>
      <c r="D109" s="24"/>
    </row>
    <row r="110">
      <c r="A110" s="24"/>
      <c r="B110" s="24"/>
      <c r="C110" s="37"/>
      <c r="D110" s="24"/>
    </row>
    <row r="111">
      <c r="A111" s="24"/>
      <c r="B111" s="24"/>
      <c r="C111" s="37"/>
      <c r="D111" s="24"/>
    </row>
    <row r="112">
      <c r="A112" s="24"/>
      <c r="B112" s="24"/>
      <c r="C112" s="37"/>
      <c r="D112" s="24"/>
    </row>
    <row r="113">
      <c r="A113" s="24"/>
      <c r="B113" s="24"/>
      <c r="C113" s="37"/>
      <c r="D113" s="24"/>
    </row>
    <row r="114">
      <c r="A114" s="24"/>
      <c r="B114" s="24"/>
      <c r="C114" s="37"/>
      <c r="D114" s="24"/>
    </row>
    <row r="115">
      <c r="A115" s="24"/>
      <c r="B115" s="24"/>
      <c r="C115" s="37"/>
      <c r="D115" s="24"/>
    </row>
    <row r="116">
      <c r="A116" s="24"/>
      <c r="B116" s="24"/>
      <c r="C116" s="37"/>
      <c r="D116" s="24"/>
    </row>
    <row r="117">
      <c r="A117" s="24"/>
      <c r="B117" s="24"/>
      <c r="C117" s="37"/>
      <c r="D117" s="24"/>
    </row>
    <row r="118">
      <c r="A118" s="24"/>
      <c r="B118" s="24"/>
      <c r="C118" s="37"/>
      <c r="D118" s="24"/>
    </row>
    <row r="119">
      <c r="A119" s="24"/>
      <c r="B119" s="24"/>
      <c r="C119" s="37"/>
      <c r="D119" s="24"/>
    </row>
    <row r="120">
      <c r="A120" s="24"/>
      <c r="B120" s="24"/>
      <c r="C120" s="37"/>
      <c r="D120" s="24"/>
    </row>
    <row r="121">
      <c r="A121" s="24"/>
      <c r="B121" s="24"/>
      <c r="C121" s="37"/>
      <c r="D121" s="24"/>
    </row>
    <row r="122">
      <c r="A122" s="24"/>
      <c r="B122" s="24"/>
      <c r="C122" s="37"/>
      <c r="D122" s="24"/>
    </row>
    <row r="123">
      <c r="A123" s="24"/>
      <c r="B123" s="24"/>
      <c r="C123" s="37"/>
      <c r="D123" s="24"/>
    </row>
    <row r="124">
      <c r="A124" s="24"/>
      <c r="B124" s="24"/>
      <c r="C124" s="37"/>
      <c r="D124" s="24"/>
    </row>
    <row r="125">
      <c r="A125" s="24"/>
      <c r="B125" s="24"/>
      <c r="C125" s="37"/>
      <c r="D125" s="24"/>
    </row>
    <row r="126">
      <c r="A126" s="24"/>
      <c r="B126" s="24"/>
      <c r="C126" s="37"/>
      <c r="D126" s="24"/>
    </row>
    <row r="127">
      <c r="A127" s="24"/>
      <c r="B127" s="24"/>
      <c r="C127" s="37"/>
      <c r="D127" s="24"/>
    </row>
    <row r="128">
      <c r="A128" s="24"/>
      <c r="B128" s="24"/>
      <c r="C128" s="37"/>
      <c r="D128" s="24"/>
    </row>
    <row r="129">
      <c r="A129" s="24"/>
      <c r="B129" s="24"/>
      <c r="C129" s="37"/>
      <c r="D129" s="24"/>
    </row>
    <row r="130">
      <c r="A130" s="24"/>
      <c r="B130" s="24"/>
      <c r="C130" s="37"/>
      <c r="D130" s="24"/>
    </row>
    <row r="131">
      <c r="A131" s="24"/>
      <c r="B131" s="24"/>
      <c r="C131" s="37"/>
      <c r="D131" s="24"/>
    </row>
    <row r="132">
      <c r="A132" s="24"/>
      <c r="B132" s="24"/>
      <c r="C132" s="37"/>
      <c r="D132" s="24"/>
    </row>
    <row r="133">
      <c r="A133" s="24"/>
      <c r="B133" s="24"/>
      <c r="C133" s="37"/>
      <c r="D133" s="24"/>
    </row>
    <row r="134">
      <c r="A134" s="24"/>
      <c r="B134" s="24"/>
      <c r="C134" s="37"/>
      <c r="D134" s="24"/>
    </row>
    <row r="135">
      <c r="A135" s="24"/>
      <c r="B135" s="24"/>
      <c r="C135" s="37"/>
      <c r="D135" s="24"/>
    </row>
    <row r="136">
      <c r="A136" s="24"/>
      <c r="B136" s="24"/>
      <c r="C136" s="37"/>
      <c r="D136" s="24"/>
    </row>
    <row r="137">
      <c r="A137" s="24"/>
      <c r="B137" s="24"/>
      <c r="C137" s="37"/>
      <c r="D137" s="24"/>
    </row>
    <row r="138">
      <c r="A138" s="24"/>
      <c r="B138" s="24"/>
      <c r="C138" s="37"/>
      <c r="D138" s="24"/>
    </row>
    <row r="139">
      <c r="A139" s="24"/>
      <c r="B139" s="24"/>
      <c r="C139" s="37"/>
      <c r="D139" s="24"/>
    </row>
    <row r="140">
      <c r="A140" s="24"/>
      <c r="B140" s="24"/>
      <c r="C140" s="37"/>
      <c r="D140" s="24"/>
    </row>
    <row r="141">
      <c r="A141" s="24"/>
      <c r="B141" s="24"/>
      <c r="C141" s="37"/>
      <c r="D141" s="24"/>
    </row>
    <row r="142">
      <c r="A142" s="24"/>
      <c r="B142" s="24"/>
      <c r="C142" s="37"/>
      <c r="D142" s="24"/>
    </row>
    <row r="143">
      <c r="A143" s="24"/>
      <c r="B143" s="24"/>
      <c r="C143" s="37"/>
      <c r="D143" s="24"/>
    </row>
    <row r="144">
      <c r="A144" s="24"/>
      <c r="B144" s="24"/>
      <c r="C144" s="37"/>
      <c r="D144" s="24"/>
    </row>
    <row r="145">
      <c r="A145" s="24"/>
      <c r="B145" s="24"/>
      <c r="C145" s="37"/>
      <c r="D145" s="24"/>
    </row>
    <row r="146">
      <c r="A146" s="24"/>
      <c r="B146" s="24"/>
      <c r="C146" s="37"/>
      <c r="D146" s="24"/>
    </row>
    <row r="147">
      <c r="A147" s="24"/>
      <c r="B147" s="24"/>
      <c r="C147" s="37"/>
      <c r="D147" s="24"/>
    </row>
    <row r="148">
      <c r="A148" s="24"/>
      <c r="B148" s="24"/>
      <c r="C148" s="37"/>
      <c r="D148" s="24"/>
    </row>
    <row r="149">
      <c r="A149" s="24"/>
      <c r="B149" s="24"/>
      <c r="C149" s="37"/>
      <c r="D149" s="24"/>
    </row>
    <row r="150">
      <c r="A150" s="24"/>
      <c r="B150" s="24"/>
      <c r="C150" s="37"/>
      <c r="D150" s="24"/>
    </row>
    <row r="151">
      <c r="A151" s="24"/>
      <c r="B151" s="24"/>
      <c r="C151" s="37"/>
      <c r="D151" s="24"/>
    </row>
    <row r="152">
      <c r="A152" s="24"/>
      <c r="B152" s="24"/>
      <c r="C152" s="37"/>
      <c r="D152" s="24"/>
    </row>
    <row r="153">
      <c r="A153" s="24"/>
      <c r="B153" s="24"/>
      <c r="C153" s="37"/>
      <c r="D153" s="24"/>
    </row>
    <row r="154">
      <c r="A154" s="24"/>
      <c r="B154" s="24"/>
      <c r="C154" s="37"/>
      <c r="D154" s="24"/>
    </row>
    <row r="155">
      <c r="A155" s="24"/>
      <c r="B155" s="24"/>
      <c r="C155" s="37"/>
      <c r="D155" s="24"/>
    </row>
    <row r="156">
      <c r="A156" s="24"/>
      <c r="B156" s="24"/>
      <c r="C156" s="37"/>
      <c r="D156" s="24"/>
    </row>
    <row r="157">
      <c r="A157" s="24"/>
      <c r="B157" s="24"/>
      <c r="C157" s="37"/>
      <c r="D157" s="24"/>
    </row>
    <row r="158">
      <c r="A158" s="24"/>
      <c r="B158" s="24"/>
      <c r="C158" s="37"/>
      <c r="D158" s="24"/>
    </row>
    <row r="159">
      <c r="A159" s="24"/>
      <c r="B159" s="24"/>
      <c r="C159" s="37"/>
      <c r="D159" s="24"/>
    </row>
    <row r="160">
      <c r="A160" s="24"/>
      <c r="B160" s="24"/>
      <c r="C160" s="37"/>
      <c r="D160" s="24"/>
    </row>
    <row r="161">
      <c r="A161" s="24"/>
      <c r="B161" s="24"/>
      <c r="C161" s="37"/>
      <c r="D161" s="24"/>
    </row>
    <row r="162">
      <c r="A162" s="24"/>
      <c r="B162" s="24"/>
      <c r="C162" s="37"/>
      <c r="D162" s="24"/>
    </row>
    <row r="163">
      <c r="A163" s="24"/>
      <c r="B163" s="24"/>
      <c r="C163" s="37"/>
      <c r="D163" s="24"/>
    </row>
    <row r="164">
      <c r="A164" s="24"/>
      <c r="B164" s="24"/>
      <c r="C164" s="37"/>
      <c r="D164" s="24"/>
    </row>
    <row r="165">
      <c r="A165" s="24"/>
      <c r="B165" s="24"/>
      <c r="C165" s="37"/>
      <c r="D165" s="24"/>
    </row>
    <row r="166">
      <c r="A166" s="24"/>
      <c r="B166" s="24"/>
      <c r="C166" s="37"/>
      <c r="D166" s="24"/>
    </row>
    <row r="167">
      <c r="A167" s="24"/>
      <c r="B167" s="24"/>
      <c r="C167" s="37"/>
      <c r="D167" s="24"/>
    </row>
    <row r="168">
      <c r="A168" s="24"/>
      <c r="B168" s="24"/>
      <c r="C168" s="37"/>
      <c r="D168" s="24"/>
    </row>
    <row r="169">
      <c r="A169" s="24"/>
      <c r="B169" s="24"/>
      <c r="C169" s="37"/>
      <c r="D169" s="24"/>
    </row>
    <row r="170">
      <c r="A170" s="24"/>
      <c r="B170" s="24"/>
      <c r="C170" s="37"/>
      <c r="D170" s="24"/>
    </row>
    <row r="171">
      <c r="A171" s="24"/>
      <c r="B171" s="24"/>
      <c r="C171" s="37"/>
      <c r="D171" s="24"/>
    </row>
    <row r="172">
      <c r="A172" s="24"/>
      <c r="B172" s="24"/>
      <c r="C172" s="37"/>
      <c r="D172" s="24"/>
    </row>
    <row r="173">
      <c r="A173" s="24"/>
      <c r="B173" s="24"/>
      <c r="C173" s="37"/>
      <c r="D173" s="24"/>
    </row>
    <row r="174">
      <c r="A174" s="24"/>
      <c r="B174" s="24"/>
      <c r="C174" s="37"/>
      <c r="D174" s="24"/>
    </row>
    <row r="175">
      <c r="A175" s="24"/>
      <c r="B175" s="24"/>
      <c r="C175" s="37"/>
      <c r="D175" s="24"/>
    </row>
    <row r="176">
      <c r="A176" s="24"/>
      <c r="B176" s="24"/>
      <c r="C176" s="37"/>
      <c r="D176" s="24"/>
    </row>
    <row r="177">
      <c r="A177" s="24"/>
      <c r="B177" s="24"/>
      <c r="C177" s="37"/>
      <c r="D177" s="24"/>
    </row>
    <row r="178">
      <c r="A178" s="24"/>
      <c r="B178" s="24"/>
      <c r="C178" s="37"/>
      <c r="D178" s="24"/>
    </row>
    <row r="179">
      <c r="A179" s="24"/>
      <c r="B179" s="24"/>
      <c r="C179" s="37"/>
      <c r="D179" s="24"/>
    </row>
    <row r="180">
      <c r="A180" s="24"/>
      <c r="B180" s="24"/>
      <c r="C180" s="37"/>
      <c r="D180" s="24"/>
    </row>
    <row r="181">
      <c r="A181" s="24"/>
      <c r="B181" s="24"/>
      <c r="C181" s="37"/>
      <c r="D181" s="24"/>
    </row>
    <row r="182">
      <c r="A182" s="24"/>
      <c r="B182" s="24"/>
      <c r="C182" s="37"/>
      <c r="D182" s="24"/>
    </row>
    <row r="183">
      <c r="A183" s="24"/>
      <c r="B183" s="24"/>
      <c r="C183" s="37"/>
      <c r="D183" s="24"/>
    </row>
    <row r="184">
      <c r="A184" s="24"/>
      <c r="B184" s="24"/>
      <c r="C184" s="37"/>
      <c r="D184" s="24"/>
    </row>
    <row r="185">
      <c r="A185" s="24"/>
      <c r="B185" s="24"/>
      <c r="C185" s="37"/>
      <c r="D185" s="24"/>
    </row>
    <row r="186">
      <c r="A186" s="24"/>
      <c r="B186" s="24"/>
      <c r="C186" s="37"/>
      <c r="D186" s="24"/>
    </row>
    <row r="187">
      <c r="A187" s="24"/>
      <c r="B187" s="24"/>
      <c r="C187" s="37"/>
      <c r="D187" s="24"/>
    </row>
    <row r="188">
      <c r="A188" s="24"/>
      <c r="B188" s="24"/>
      <c r="C188" s="37"/>
      <c r="D188" s="24"/>
    </row>
    <row r="189">
      <c r="A189" s="24"/>
      <c r="B189" s="24"/>
      <c r="C189" s="37"/>
      <c r="D189" s="24"/>
    </row>
    <row r="190">
      <c r="A190" s="24"/>
      <c r="B190" s="24"/>
      <c r="C190" s="37"/>
      <c r="D190" s="24"/>
    </row>
    <row r="191">
      <c r="A191" s="24"/>
      <c r="B191" s="24"/>
      <c r="C191" s="37"/>
      <c r="D191" s="24"/>
    </row>
    <row r="192">
      <c r="A192" s="24"/>
      <c r="B192" s="24"/>
      <c r="C192" s="37"/>
      <c r="D192" s="24"/>
    </row>
    <row r="193">
      <c r="A193" s="24"/>
      <c r="B193" s="24"/>
      <c r="C193" s="37"/>
      <c r="D193" s="24"/>
    </row>
    <row r="194">
      <c r="A194" s="24"/>
      <c r="B194" s="24"/>
      <c r="C194" s="37"/>
      <c r="D194" s="24"/>
    </row>
    <row r="195">
      <c r="A195" s="24"/>
      <c r="B195" s="24"/>
      <c r="C195" s="37"/>
      <c r="D195" s="24"/>
    </row>
    <row r="196">
      <c r="A196" s="24"/>
      <c r="B196" s="24"/>
      <c r="C196" s="37"/>
      <c r="D196" s="24"/>
    </row>
    <row r="197">
      <c r="A197" s="24"/>
      <c r="B197" s="24"/>
      <c r="C197" s="37"/>
      <c r="D197" s="24"/>
    </row>
    <row r="198">
      <c r="A198" s="24"/>
      <c r="B198" s="24"/>
      <c r="C198" s="37"/>
      <c r="D198" s="24"/>
    </row>
    <row r="199">
      <c r="A199" s="24"/>
      <c r="B199" s="24"/>
      <c r="C199" s="37"/>
      <c r="D199" s="24"/>
    </row>
    <row r="200">
      <c r="A200" s="24"/>
      <c r="B200" s="24"/>
      <c r="C200" s="37"/>
      <c r="D200" s="24"/>
    </row>
    <row r="201">
      <c r="A201" s="24"/>
      <c r="B201" s="24"/>
      <c r="C201" s="37"/>
      <c r="D201" s="24"/>
    </row>
    <row r="202">
      <c r="A202" s="24"/>
      <c r="B202" s="24"/>
      <c r="C202" s="37"/>
      <c r="D202" s="24"/>
    </row>
    <row r="203">
      <c r="A203" s="24"/>
      <c r="B203" s="24"/>
      <c r="C203" s="37"/>
      <c r="D203" s="24"/>
    </row>
    <row r="204">
      <c r="A204" s="24"/>
      <c r="B204" s="24"/>
      <c r="C204" s="37"/>
      <c r="D204" s="24"/>
    </row>
    <row r="205">
      <c r="A205" s="24"/>
      <c r="B205" s="24"/>
      <c r="C205" s="37"/>
      <c r="D205" s="24"/>
    </row>
    <row r="206">
      <c r="A206" s="24"/>
      <c r="B206" s="24"/>
      <c r="C206" s="37"/>
      <c r="D206" s="24"/>
    </row>
    <row r="207">
      <c r="A207" s="24"/>
      <c r="B207" s="24"/>
      <c r="C207" s="37"/>
      <c r="D207" s="24"/>
    </row>
    <row r="208">
      <c r="A208" s="24"/>
      <c r="B208" s="24"/>
      <c r="C208" s="37"/>
      <c r="D208" s="24"/>
    </row>
    <row r="209">
      <c r="A209" s="24"/>
      <c r="B209" s="24"/>
      <c r="C209" s="37"/>
      <c r="D209" s="24"/>
    </row>
    <row r="210">
      <c r="A210" s="24"/>
      <c r="B210" s="24"/>
      <c r="C210" s="37"/>
      <c r="D210" s="24"/>
    </row>
    <row r="211">
      <c r="A211" s="24"/>
      <c r="B211" s="24"/>
      <c r="C211" s="37"/>
      <c r="D211" s="24"/>
    </row>
    <row r="212">
      <c r="A212" s="24"/>
      <c r="B212" s="24"/>
      <c r="C212" s="37"/>
      <c r="D212" s="24"/>
    </row>
    <row r="213">
      <c r="A213" s="24"/>
      <c r="B213" s="24"/>
      <c r="C213" s="37"/>
      <c r="D213" s="24"/>
    </row>
    <row r="214">
      <c r="A214" s="24"/>
      <c r="B214" s="24"/>
      <c r="C214" s="37"/>
      <c r="D214" s="24"/>
    </row>
    <row r="215">
      <c r="A215" s="24"/>
      <c r="B215" s="24"/>
      <c r="C215" s="37"/>
      <c r="D215" s="24"/>
    </row>
    <row r="216">
      <c r="A216" s="24"/>
      <c r="B216" s="24"/>
      <c r="C216" s="37"/>
      <c r="D216" s="24"/>
    </row>
    <row r="217">
      <c r="A217" s="24"/>
      <c r="B217" s="24"/>
      <c r="C217" s="37"/>
      <c r="D217" s="24"/>
    </row>
    <row r="218">
      <c r="A218" s="24"/>
      <c r="B218" s="24"/>
      <c r="C218" s="37"/>
      <c r="D218" s="24"/>
    </row>
    <row r="219">
      <c r="A219" s="24"/>
      <c r="B219" s="24"/>
      <c r="C219" s="37"/>
      <c r="D219" s="24"/>
    </row>
    <row r="220">
      <c r="A220" s="24"/>
      <c r="B220" s="24"/>
      <c r="C220" s="37"/>
      <c r="D220" s="24"/>
    </row>
    <row r="221">
      <c r="A221" s="24"/>
      <c r="B221" s="24"/>
      <c r="C221" s="37"/>
      <c r="D221" s="24"/>
    </row>
    <row r="222">
      <c r="A222" s="24"/>
      <c r="B222" s="24"/>
      <c r="C222" s="37"/>
      <c r="D222" s="24"/>
    </row>
    <row r="223">
      <c r="A223" s="24"/>
      <c r="B223" s="24"/>
      <c r="C223" s="37"/>
      <c r="D223" s="24"/>
    </row>
    <row r="224">
      <c r="A224" s="24"/>
      <c r="B224" s="24"/>
      <c r="C224" s="37"/>
      <c r="D224" s="24"/>
    </row>
    <row r="225">
      <c r="A225" s="24"/>
      <c r="B225" s="24"/>
      <c r="C225" s="37"/>
      <c r="D225" s="24"/>
    </row>
    <row r="226">
      <c r="A226" s="24"/>
      <c r="B226" s="24"/>
      <c r="C226" s="37"/>
      <c r="D226" s="24"/>
    </row>
    <row r="227">
      <c r="A227" s="24"/>
      <c r="B227" s="24"/>
      <c r="C227" s="37"/>
      <c r="D227" s="24"/>
    </row>
    <row r="228">
      <c r="A228" s="24"/>
      <c r="B228" s="24"/>
      <c r="C228" s="37"/>
      <c r="D228" s="24"/>
    </row>
    <row r="229">
      <c r="A229" s="24"/>
      <c r="B229" s="24"/>
      <c r="C229" s="37"/>
      <c r="D229" s="24"/>
    </row>
    <row r="230">
      <c r="A230" s="24"/>
      <c r="B230" s="24"/>
      <c r="C230" s="37"/>
      <c r="D230" s="24"/>
    </row>
    <row r="231">
      <c r="A231" s="24"/>
      <c r="B231" s="24"/>
      <c r="C231" s="37"/>
      <c r="D231" s="24"/>
    </row>
    <row r="232">
      <c r="A232" s="24"/>
      <c r="B232" s="24"/>
      <c r="C232" s="37"/>
      <c r="D232" s="24"/>
    </row>
    <row r="233">
      <c r="A233" s="24"/>
      <c r="B233" s="24"/>
      <c r="C233" s="37"/>
      <c r="D233" s="24"/>
    </row>
    <row r="234">
      <c r="A234" s="24"/>
      <c r="B234" s="24"/>
      <c r="C234" s="37"/>
      <c r="D234" s="24"/>
    </row>
    <row r="235">
      <c r="A235" s="24"/>
      <c r="B235" s="24"/>
      <c r="C235" s="37"/>
      <c r="D235" s="24"/>
    </row>
    <row r="236">
      <c r="A236" s="24"/>
      <c r="B236" s="24"/>
      <c r="C236" s="37"/>
      <c r="D236" s="24"/>
    </row>
    <row r="237">
      <c r="A237" s="24"/>
      <c r="B237" s="24"/>
      <c r="C237" s="37"/>
      <c r="D237" s="24"/>
    </row>
    <row r="238">
      <c r="A238" s="24"/>
      <c r="B238" s="24"/>
      <c r="C238" s="37"/>
      <c r="D238" s="24"/>
    </row>
    <row r="239">
      <c r="A239" s="24"/>
      <c r="B239" s="24"/>
      <c r="C239" s="37"/>
      <c r="D239" s="24"/>
    </row>
    <row r="240">
      <c r="A240" s="24"/>
      <c r="B240" s="24"/>
      <c r="C240" s="37"/>
      <c r="D240" s="24"/>
    </row>
    <row r="241">
      <c r="A241" s="24"/>
      <c r="B241" s="24"/>
      <c r="C241" s="37"/>
      <c r="D241" s="24"/>
    </row>
    <row r="242">
      <c r="A242" s="24"/>
      <c r="B242" s="24"/>
      <c r="C242" s="37"/>
      <c r="D242" s="24"/>
    </row>
    <row r="243">
      <c r="A243" s="24"/>
      <c r="B243" s="24"/>
      <c r="C243" s="37"/>
      <c r="D243" s="24"/>
    </row>
    <row r="244">
      <c r="A244" s="24"/>
      <c r="B244" s="24"/>
      <c r="C244" s="37"/>
      <c r="D244" s="24"/>
    </row>
    <row r="245">
      <c r="A245" s="24"/>
      <c r="B245" s="24"/>
      <c r="C245" s="37"/>
      <c r="D245" s="24"/>
    </row>
    <row r="246">
      <c r="A246" s="24"/>
      <c r="B246" s="24"/>
      <c r="C246" s="37"/>
      <c r="D246" s="24"/>
    </row>
    <row r="247">
      <c r="A247" s="24"/>
      <c r="B247" s="24"/>
      <c r="C247" s="37"/>
      <c r="D247" s="24"/>
    </row>
    <row r="248">
      <c r="A248" s="24"/>
      <c r="B248" s="24"/>
      <c r="C248" s="37"/>
      <c r="D248" s="24"/>
    </row>
    <row r="249">
      <c r="A249" s="24"/>
      <c r="B249" s="24"/>
      <c r="C249" s="37"/>
      <c r="D249" s="24"/>
    </row>
    <row r="250">
      <c r="A250" s="24"/>
      <c r="B250" s="24"/>
      <c r="C250" s="37"/>
      <c r="D250" s="24"/>
    </row>
    <row r="251">
      <c r="A251" s="24"/>
      <c r="B251" s="24"/>
      <c r="C251" s="37"/>
      <c r="D251" s="24"/>
    </row>
    <row r="252">
      <c r="A252" s="24"/>
      <c r="B252" s="24"/>
      <c r="C252" s="37"/>
      <c r="D252" s="24"/>
    </row>
    <row r="253">
      <c r="A253" s="24"/>
      <c r="B253" s="24"/>
      <c r="C253" s="37"/>
      <c r="D253" s="24"/>
    </row>
    <row r="254">
      <c r="A254" s="24"/>
      <c r="B254" s="24"/>
      <c r="C254" s="37"/>
      <c r="D254" s="24"/>
    </row>
    <row r="255">
      <c r="A255" s="24"/>
      <c r="B255" s="24"/>
      <c r="C255" s="37"/>
      <c r="D255" s="24"/>
    </row>
    <row r="256">
      <c r="A256" s="24"/>
      <c r="B256" s="24"/>
      <c r="C256" s="37"/>
      <c r="D256" s="24"/>
    </row>
    <row r="257">
      <c r="A257" s="24"/>
      <c r="B257" s="24"/>
      <c r="C257" s="37"/>
      <c r="D257" s="24"/>
    </row>
    <row r="258">
      <c r="A258" s="24"/>
      <c r="B258" s="24"/>
      <c r="C258" s="37"/>
      <c r="D258" s="24"/>
    </row>
    <row r="259">
      <c r="A259" s="24"/>
      <c r="B259" s="24"/>
      <c r="C259" s="37"/>
      <c r="D259" s="24"/>
    </row>
    <row r="260">
      <c r="A260" s="24"/>
      <c r="B260" s="24"/>
      <c r="C260" s="37"/>
      <c r="D260" s="24"/>
    </row>
    <row r="261">
      <c r="A261" s="24"/>
      <c r="B261" s="24"/>
      <c r="C261" s="37"/>
      <c r="D261" s="24"/>
    </row>
    <row r="262">
      <c r="A262" s="24"/>
      <c r="B262" s="24"/>
      <c r="C262" s="37"/>
      <c r="D262" s="24"/>
    </row>
    <row r="263">
      <c r="A263" s="24"/>
      <c r="B263" s="24"/>
      <c r="C263" s="37"/>
      <c r="D263" s="24"/>
    </row>
    <row r="264">
      <c r="A264" s="24"/>
      <c r="B264" s="24"/>
      <c r="C264" s="37"/>
      <c r="D264" s="24"/>
    </row>
    <row r="265">
      <c r="A265" s="24"/>
      <c r="B265" s="24"/>
      <c r="C265" s="37"/>
      <c r="D265" s="24"/>
    </row>
    <row r="266">
      <c r="A266" s="24"/>
      <c r="B266" s="24"/>
      <c r="C266" s="37"/>
      <c r="D266" s="24"/>
    </row>
    <row r="267">
      <c r="A267" s="24"/>
      <c r="B267" s="24"/>
      <c r="C267" s="37"/>
      <c r="D267" s="24"/>
    </row>
    <row r="268">
      <c r="A268" s="24"/>
      <c r="B268" s="24"/>
      <c r="C268" s="37"/>
      <c r="D268" s="24"/>
    </row>
    <row r="269">
      <c r="A269" s="24"/>
      <c r="B269" s="24"/>
      <c r="C269" s="37"/>
      <c r="D269" s="24"/>
    </row>
    <row r="270">
      <c r="A270" s="24"/>
      <c r="B270" s="24"/>
      <c r="C270" s="37"/>
      <c r="D270" s="24"/>
    </row>
    <row r="271">
      <c r="A271" s="24"/>
      <c r="B271" s="24"/>
      <c r="C271" s="37"/>
      <c r="D271" s="24"/>
    </row>
    <row r="272">
      <c r="A272" s="24"/>
      <c r="B272" s="24"/>
      <c r="C272" s="37"/>
      <c r="D272" s="24"/>
    </row>
    <row r="273">
      <c r="A273" s="24"/>
      <c r="B273" s="24"/>
      <c r="C273" s="37"/>
      <c r="D273" s="24"/>
    </row>
    <row r="274">
      <c r="A274" s="24"/>
      <c r="B274" s="24"/>
      <c r="C274" s="37"/>
      <c r="D274" s="24"/>
    </row>
    <row r="275">
      <c r="A275" s="24"/>
      <c r="B275" s="24"/>
      <c r="C275" s="37"/>
      <c r="D275" s="24"/>
    </row>
    <row r="276">
      <c r="A276" s="24"/>
      <c r="B276" s="24"/>
      <c r="C276" s="37"/>
      <c r="D276" s="24"/>
    </row>
    <row r="277">
      <c r="A277" s="24"/>
      <c r="B277" s="24"/>
      <c r="C277" s="37"/>
      <c r="D277" s="24"/>
    </row>
    <row r="278">
      <c r="A278" s="24"/>
      <c r="B278" s="24"/>
      <c r="C278" s="37"/>
      <c r="D278" s="24"/>
    </row>
    <row r="279">
      <c r="A279" s="24"/>
      <c r="B279" s="24"/>
      <c r="C279" s="37"/>
      <c r="D279" s="24"/>
    </row>
    <row r="280">
      <c r="A280" s="24"/>
      <c r="B280" s="24"/>
      <c r="C280" s="37"/>
      <c r="D280" s="24"/>
    </row>
    <row r="281">
      <c r="A281" s="24"/>
      <c r="B281" s="24"/>
      <c r="C281" s="37"/>
      <c r="D281" s="24"/>
    </row>
    <row r="282">
      <c r="A282" s="24"/>
      <c r="B282" s="24"/>
      <c r="C282" s="37"/>
      <c r="D282" s="24"/>
    </row>
    <row r="283">
      <c r="A283" s="24"/>
      <c r="B283" s="24"/>
      <c r="C283" s="37"/>
      <c r="D283" s="24"/>
    </row>
    <row r="284">
      <c r="A284" s="24"/>
      <c r="B284" s="24"/>
      <c r="C284" s="37"/>
      <c r="D284" s="24"/>
    </row>
    <row r="285">
      <c r="A285" s="24"/>
      <c r="B285" s="24"/>
      <c r="C285" s="37"/>
      <c r="D285" s="24"/>
    </row>
    <row r="286">
      <c r="A286" s="24"/>
      <c r="B286" s="24"/>
      <c r="C286" s="37"/>
      <c r="D286" s="24"/>
    </row>
    <row r="287">
      <c r="A287" s="24"/>
      <c r="B287" s="24"/>
      <c r="C287" s="37"/>
      <c r="D287" s="24"/>
    </row>
    <row r="288">
      <c r="A288" s="24"/>
      <c r="B288" s="24"/>
      <c r="C288" s="37"/>
      <c r="D288" s="24"/>
    </row>
    <row r="289">
      <c r="A289" s="24"/>
      <c r="B289" s="24"/>
      <c r="C289" s="37"/>
      <c r="D289" s="24"/>
    </row>
    <row r="290">
      <c r="A290" s="24"/>
      <c r="B290" s="24"/>
      <c r="C290" s="37"/>
      <c r="D290" s="24"/>
    </row>
    <row r="291">
      <c r="A291" s="24"/>
      <c r="B291" s="24"/>
      <c r="C291" s="37"/>
      <c r="D291" s="24"/>
    </row>
    <row r="292">
      <c r="A292" s="24"/>
      <c r="B292" s="24"/>
      <c r="C292" s="37"/>
      <c r="D292" s="24"/>
    </row>
    <row r="293">
      <c r="A293" s="24"/>
      <c r="B293" s="24"/>
      <c r="C293" s="37"/>
      <c r="D293" s="24"/>
    </row>
    <row r="294">
      <c r="A294" s="24"/>
      <c r="B294" s="24"/>
      <c r="C294" s="37"/>
      <c r="D294" s="24"/>
    </row>
    <row r="295">
      <c r="A295" s="24"/>
      <c r="B295" s="24"/>
      <c r="C295" s="37"/>
      <c r="D295" s="24"/>
    </row>
    <row r="296">
      <c r="A296" s="24"/>
      <c r="B296" s="24"/>
      <c r="C296" s="37"/>
      <c r="D296" s="24"/>
    </row>
    <row r="297">
      <c r="A297" s="24"/>
      <c r="B297" s="24"/>
      <c r="C297" s="37"/>
      <c r="D297" s="24"/>
    </row>
    <row r="298">
      <c r="A298" s="24"/>
      <c r="B298" s="24"/>
      <c r="C298" s="37"/>
      <c r="D298" s="24"/>
    </row>
    <row r="299">
      <c r="A299" s="24"/>
      <c r="B299" s="24"/>
      <c r="C299" s="37"/>
      <c r="D299" s="24"/>
    </row>
    <row r="300">
      <c r="A300" s="24"/>
      <c r="B300" s="24"/>
      <c r="C300" s="37"/>
      <c r="D300" s="24"/>
    </row>
    <row r="301">
      <c r="A301" s="24"/>
      <c r="B301" s="24"/>
      <c r="C301" s="37"/>
      <c r="D301" s="24"/>
    </row>
    <row r="302">
      <c r="A302" s="24"/>
      <c r="B302" s="24"/>
      <c r="C302" s="37"/>
      <c r="D302" s="24"/>
    </row>
    <row r="303">
      <c r="A303" s="24"/>
      <c r="B303" s="24"/>
      <c r="C303" s="37"/>
      <c r="D303" s="24"/>
    </row>
    <row r="304">
      <c r="A304" s="24"/>
      <c r="B304" s="24"/>
      <c r="C304" s="37"/>
      <c r="D304" s="24"/>
    </row>
    <row r="305">
      <c r="A305" s="24"/>
      <c r="B305" s="24"/>
      <c r="C305" s="37"/>
      <c r="D305" s="24"/>
    </row>
    <row r="306">
      <c r="A306" s="24"/>
      <c r="B306" s="24"/>
      <c r="C306" s="37"/>
      <c r="D306" s="24"/>
    </row>
    <row r="307">
      <c r="A307" s="24"/>
      <c r="B307" s="24"/>
      <c r="C307" s="37"/>
      <c r="D307" s="24"/>
    </row>
    <row r="308">
      <c r="A308" s="24"/>
      <c r="B308" s="24"/>
      <c r="C308" s="37"/>
      <c r="D308" s="24"/>
    </row>
    <row r="309">
      <c r="A309" s="24"/>
      <c r="B309" s="24"/>
      <c r="C309" s="37"/>
      <c r="D309" s="24"/>
    </row>
    <row r="310">
      <c r="A310" s="24"/>
      <c r="B310" s="24"/>
      <c r="C310" s="37"/>
      <c r="D310" s="24"/>
    </row>
    <row r="311">
      <c r="A311" s="24"/>
      <c r="B311" s="24"/>
      <c r="C311" s="37"/>
      <c r="D311" s="24"/>
    </row>
    <row r="312">
      <c r="A312" s="24"/>
      <c r="B312" s="24"/>
      <c r="C312" s="37"/>
      <c r="D312" s="24"/>
    </row>
    <row r="313">
      <c r="A313" s="24"/>
      <c r="B313" s="24"/>
      <c r="C313" s="37"/>
      <c r="D313" s="24"/>
    </row>
    <row r="314">
      <c r="A314" s="24"/>
      <c r="B314" s="24"/>
      <c r="C314" s="37"/>
      <c r="D314" s="24"/>
    </row>
    <row r="315">
      <c r="A315" s="24"/>
      <c r="B315" s="24"/>
      <c r="C315" s="37"/>
      <c r="D315" s="24"/>
    </row>
    <row r="316">
      <c r="A316" s="24"/>
      <c r="B316" s="24"/>
      <c r="C316" s="37"/>
      <c r="D316" s="24"/>
    </row>
    <row r="317">
      <c r="A317" s="24"/>
      <c r="B317" s="24"/>
      <c r="C317" s="37"/>
      <c r="D317" s="24"/>
    </row>
    <row r="318">
      <c r="A318" s="24"/>
      <c r="B318" s="24"/>
      <c r="C318" s="37"/>
      <c r="D318" s="24"/>
    </row>
    <row r="319">
      <c r="A319" s="24"/>
      <c r="B319" s="24"/>
      <c r="C319" s="37"/>
      <c r="D319" s="24"/>
    </row>
    <row r="320">
      <c r="A320" s="24"/>
      <c r="B320" s="24"/>
      <c r="C320" s="37"/>
      <c r="D320" s="24"/>
    </row>
    <row r="321">
      <c r="A321" s="24"/>
      <c r="B321" s="24"/>
      <c r="C321" s="37"/>
      <c r="D321" s="24"/>
    </row>
    <row r="322">
      <c r="A322" s="24"/>
      <c r="B322" s="24"/>
      <c r="C322" s="37"/>
      <c r="D322" s="24"/>
    </row>
    <row r="323">
      <c r="A323" s="24"/>
      <c r="B323" s="24"/>
      <c r="C323" s="37"/>
      <c r="D323" s="24"/>
    </row>
    <row r="324">
      <c r="A324" s="24"/>
      <c r="B324" s="24"/>
      <c r="C324" s="37"/>
      <c r="D324" s="24"/>
    </row>
    <row r="325">
      <c r="A325" s="24"/>
      <c r="B325" s="24"/>
      <c r="C325" s="37"/>
      <c r="D325" s="24"/>
    </row>
    <row r="326">
      <c r="A326" s="24"/>
      <c r="B326" s="24"/>
      <c r="C326" s="37"/>
      <c r="D326" s="24"/>
    </row>
    <row r="327">
      <c r="A327" s="24"/>
      <c r="B327" s="24"/>
      <c r="C327" s="37"/>
      <c r="D327" s="24"/>
    </row>
    <row r="328">
      <c r="A328" s="24"/>
      <c r="B328" s="24"/>
      <c r="C328" s="37"/>
      <c r="D328" s="24"/>
    </row>
    <row r="329">
      <c r="A329" s="24"/>
      <c r="B329" s="24"/>
      <c r="C329" s="37"/>
      <c r="D329" s="24"/>
    </row>
    <row r="330">
      <c r="A330" s="24"/>
      <c r="B330" s="24"/>
      <c r="C330" s="37"/>
      <c r="D330" s="24"/>
    </row>
    <row r="331">
      <c r="A331" s="24"/>
      <c r="B331" s="24"/>
      <c r="C331" s="37"/>
      <c r="D331" s="24"/>
    </row>
    <row r="332">
      <c r="A332" s="24"/>
      <c r="B332" s="24"/>
      <c r="C332" s="37"/>
      <c r="D332" s="24"/>
    </row>
    <row r="333">
      <c r="A333" s="24"/>
      <c r="B333" s="24"/>
      <c r="C333" s="37"/>
      <c r="D333" s="24"/>
    </row>
    <row r="334">
      <c r="A334" s="24"/>
      <c r="B334" s="24"/>
      <c r="C334" s="37"/>
      <c r="D334" s="24"/>
    </row>
    <row r="335">
      <c r="A335" s="24"/>
      <c r="B335" s="24"/>
      <c r="C335" s="37"/>
      <c r="D335" s="24"/>
    </row>
    <row r="336">
      <c r="A336" s="24"/>
      <c r="B336" s="24"/>
      <c r="C336" s="37"/>
      <c r="D336" s="24"/>
    </row>
    <row r="337">
      <c r="A337" s="24"/>
      <c r="B337" s="24"/>
      <c r="C337" s="37"/>
      <c r="D337" s="24"/>
    </row>
    <row r="338">
      <c r="A338" s="24"/>
      <c r="B338" s="24"/>
      <c r="C338" s="37"/>
      <c r="D338" s="24"/>
    </row>
    <row r="339">
      <c r="A339" s="24"/>
      <c r="B339" s="24"/>
      <c r="C339" s="37"/>
      <c r="D339" s="24"/>
    </row>
    <row r="340">
      <c r="A340" s="24"/>
      <c r="B340" s="24"/>
      <c r="C340" s="37"/>
      <c r="D340" s="24"/>
    </row>
    <row r="341">
      <c r="A341" s="24"/>
      <c r="B341" s="24"/>
      <c r="C341" s="37"/>
      <c r="D341" s="24"/>
    </row>
    <row r="342">
      <c r="A342" s="24"/>
      <c r="B342" s="24"/>
      <c r="C342" s="37"/>
      <c r="D342" s="24"/>
    </row>
    <row r="343">
      <c r="A343" s="24"/>
      <c r="B343" s="24"/>
      <c r="C343" s="37"/>
      <c r="D343" s="24"/>
    </row>
    <row r="344">
      <c r="A344" s="24"/>
      <c r="B344" s="24"/>
      <c r="C344" s="37"/>
      <c r="D344" s="24"/>
    </row>
    <row r="345">
      <c r="A345" s="24"/>
      <c r="B345" s="24"/>
      <c r="C345" s="37"/>
      <c r="D345" s="24"/>
    </row>
    <row r="346">
      <c r="A346" s="24"/>
      <c r="B346" s="24"/>
      <c r="C346" s="37"/>
      <c r="D346" s="24"/>
    </row>
    <row r="347">
      <c r="A347" s="24"/>
      <c r="B347" s="24"/>
      <c r="C347" s="37"/>
      <c r="D347" s="24"/>
    </row>
    <row r="348">
      <c r="A348" s="24"/>
      <c r="B348" s="24"/>
      <c r="C348" s="37"/>
      <c r="D348" s="24"/>
    </row>
    <row r="349">
      <c r="A349" s="24"/>
      <c r="B349" s="24"/>
      <c r="C349" s="37"/>
      <c r="D349" s="24"/>
    </row>
    <row r="350">
      <c r="A350" s="24"/>
      <c r="B350" s="24"/>
      <c r="C350" s="37"/>
      <c r="D350" s="24"/>
    </row>
    <row r="351">
      <c r="A351" s="24"/>
      <c r="B351" s="24"/>
      <c r="C351" s="37"/>
      <c r="D351" s="24"/>
    </row>
    <row r="352">
      <c r="A352" s="24"/>
      <c r="B352" s="24"/>
      <c r="C352" s="37"/>
      <c r="D352" s="24"/>
    </row>
    <row r="353">
      <c r="A353" s="24"/>
      <c r="B353" s="24"/>
      <c r="C353" s="37"/>
      <c r="D353" s="24"/>
    </row>
    <row r="354">
      <c r="A354" s="24"/>
      <c r="B354" s="24"/>
      <c r="C354" s="37"/>
      <c r="D354" s="24"/>
    </row>
    <row r="355">
      <c r="A355" s="24"/>
      <c r="B355" s="24"/>
      <c r="C355" s="37"/>
      <c r="D355" s="24"/>
    </row>
    <row r="356">
      <c r="A356" s="24"/>
      <c r="B356" s="24"/>
      <c r="C356" s="37"/>
      <c r="D356" s="24"/>
    </row>
    <row r="357">
      <c r="A357" s="24"/>
      <c r="B357" s="24"/>
      <c r="C357" s="37"/>
      <c r="D357" s="24"/>
    </row>
    <row r="358">
      <c r="A358" s="24"/>
      <c r="B358" s="24"/>
      <c r="C358" s="37"/>
      <c r="D358" s="24"/>
    </row>
    <row r="359">
      <c r="A359" s="24"/>
      <c r="B359" s="24"/>
      <c r="C359" s="37"/>
      <c r="D359" s="24"/>
    </row>
    <row r="360">
      <c r="A360" s="24"/>
      <c r="B360" s="24"/>
      <c r="C360" s="37"/>
      <c r="D360" s="24"/>
    </row>
    <row r="361">
      <c r="A361" s="24"/>
      <c r="B361" s="24"/>
      <c r="C361" s="37"/>
      <c r="D361" s="24"/>
    </row>
    <row r="362">
      <c r="A362" s="24"/>
      <c r="B362" s="24"/>
      <c r="C362" s="37"/>
      <c r="D362" s="24"/>
    </row>
    <row r="363">
      <c r="A363" s="24"/>
      <c r="B363" s="24"/>
      <c r="C363" s="37"/>
      <c r="D363" s="24"/>
    </row>
    <row r="364">
      <c r="A364" s="24"/>
      <c r="B364" s="24"/>
      <c r="C364" s="37"/>
      <c r="D364" s="24"/>
    </row>
    <row r="365">
      <c r="A365" s="24"/>
      <c r="B365" s="24"/>
      <c r="C365" s="37"/>
      <c r="D365" s="24"/>
    </row>
    <row r="366">
      <c r="A366" s="24"/>
      <c r="B366" s="24"/>
      <c r="C366" s="37"/>
      <c r="D366" s="24"/>
    </row>
    <row r="367">
      <c r="A367" s="24"/>
      <c r="B367" s="24"/>
      <c r="C367" s="37"/>
      <c r="D367" s="24"/>
    </row>
    <row r="368">
      <c r="A368" s="24"/>
      <c r="B368" s="24"/>
      <c r="C368" s="37"/>
      <c r="D368" s="24"/>
    </row>
    <row r="369">
      <c r="A369" s="24"/>
      <c r="B369" s="24"/>
      <c r="C369" s="37"/>
      <c r="D369" s="24"/>
    </row>
    <row r="370">
      <c r="A370" s="24"/>
      <c r="B370" s="24"/>
      <c r="C370" s="37"/>
      <c r="D370" s="24"/>
    </row>
    <row r="371">
      <c r="A371" s="24"/>
      <c r="B371" s="24"/>
      <c r="C371" s="37"/>
      <c r="D371" s="24"/>
    </row>
    <row r="372">
      <c r="A372" s="24"/>
      <c r="B372" s="24"/>
      <c r="C372" s="37"/>
      <c r="D372" s="24"/>
    </row>
    <row r="373">
      <c r="A373" s="24"/>
      <c r="B373" s="24"/>
      <c r="C373" s="37"/>
      <c r="D373" s="24"/>
    </row>
    <row r="374">
      <c r="A374" s="24"/>
      <c r="B374" s="24"/>
      <c r="C374" s="37"/>
      <c r="D374" s="24"/>
    </row>
    <row r="375">
      <c r="A375" s="24"/>
      <c r="B375" s="24"/>
      <c r="C375" s="37"/>
      <c r="D375" s="24"/>
    </row>
    <row r="376">
      <c r="A376" s="24"/>
      <c r="B376" s="24"/>
      <c r="C376" s="37"/>
      <c r="D376" s="24"/>
    </row>
    <row r="377">
      <c r="A377" s="24"/>
      <c r="B377" s="24"/>
      <c r="C377" s="37"/>
      <c r="D377" s="24"/>
    </row>
    <row r="378">
      <c r="A378" s="24"/>
      <c r="B378" s="24"/>
      <c r="C378" s="37"/>
      <c r="D378" s="24"/>
    </row>
    <row r="379">
      <c r="A379" s="24"/>
      <c r="B379" s="24"/>
      <c r="C379" s="37"/>
      <c r="D379" s="24"/>
    </row>
    <row r="380">
      <c r="A380" s="24"/>
      <c r="B380" s="24"/>
      <c r="C380" s="37"/>
      <c r="D380" s="24"/>
    </row>
    <row r="381">
      <c r="A381" s="24"/>
      <c r="B381" s="24"/>
      <c r="C381" s="37"/>
      <c r="D381" s="24"/>
    </row>
    <row r="382">
      <c r="A382" s="24"/>
      <c r="B382" s="24"/>
      <c r="C382" s="37"/>
      <c r="D382" s="24"/>
    </row>
    <row r="383">
      <c r="A383" s="24"/>
      <c r="B383" s="24"/>
      <c r="C383" s="37"/>
      <c r="D383" s="24"/>
    </row>
    <row r="384">
      <c r="A384" s="24"/>
      <c r="B384" s="24"/>
      <c r="C384" s="37"/>
      <c r="D384" s="24"/>
    </row>
    <row r="385">
      <c r="A385" s="24"/>
      <c r="B385" s="24"/>
      <c r="C385" s="37"/>
      <c r="D385" s="24"/>
    </row>
    <row r="386">
      <c r="A386" s="24"/>
      <c r="B386" s="24"/>
      <c r="C386" s="37"/>
      <c r="D386" s="24"/>
    </row>
    <row r="387">
      <c r="A387" s="24"/>
      <c r="B387" s="24"/>
      <c r="C387" s="37"/>
      <c r="D387" s="24"/>
    </row>
    <row r="388">
      <c r="A388" s="24"/>
      <c r="B388" s="24"/>
      <c r="C388" s="37"/>
      <c r="D388" s="24"/>
    </row>
    <row r="389">
      <c r="A389" s="24"/>
      <c r="B389" s="24"/>
      <c r="C389" s="37"/>
      <c r="D389" s="24"/>
    </row>
    <row r="390">
      <c r="A390" s="24"/>
      <c r="B390" s="24"/>
      <c r="C390" s="37"/>
      <c r="D390" s="24"/>
    </row>
    <row r="391">
      <c r="A391" s="24"/>
      <c r="B391" s="24"/>
      <c r="C391" s="37"/>
      <c r="D391" s="24"/>
    </row>
    <row r="392">
      <c r="A392" s="24"/>
      <c r="B392" s="24"/>
      <c r="C392" s="37"/>
      <c r="D392" s="24"/>
    </row>
    <row r="393">
      <c r="A393" s="24"/>
      <c r="B393" s="24"/>
      <c r="C393" s="37"/>
      <c r="D393" s="24"/>
    </row>
    <row r="394">
      <c r="A394" s="24"/>
      <c r="B394" s="24"/>
      <c r="C394" s="37"/>
      <c r="D394" s="24"/>
    </row>
    <row r="395">
      <c r="A395" s="24"/>
      <c r="B395" s="24"/>
      <c r="C395" s="37"/>
      <c r="D395" s="24"/>
    </row>
    <row r="396">
      <c r="A396" s="24"/>
      <c r="B396" s="24"/>
      <c r="C396" s="37"/>
      <c r="D396" s="24"/>
    </row>
    <row r="397">
      <c r="A397" s="24"/>
      <c r="B397" s="24"/>
      <c r="C397" s="37"/>
      <c r="D397" s="24"/>
    </row>
    <row r="398">
      <c r="A398" s="24"/>
      <c r="B398" s="24"/>
      <c r="C398" s="37"/>
      <c r="D398" s="24"/>
    </row>
    <row r="399">
      <c r="A399" s="24"/>
      <c r="B399" s="24"/>
      <c r="C399" s="37"/>
      <c r="D399" s="24"/>
    </row>
    <row r="400">
      <c r="A400" s="24"/>
      <c r="B400" s="24"/>
      <c r="C400" s="37"/>
      <c r="D400" s="24"/>
    </row>
    <row r="401">
      <c r="A401" s="24"/>
      <c r="B401" s="24"/>
      <c r="C401" s="37"/>
      <c r="D401" s="24"/>
    </row>
    <row r="402">
      <c r="A402" s="24"/>
      <c r="B402" s="24"/>
      <c r="C402" s="37"/>
      <c r="D402" s="24"/>
    </row>
    <row r="403">
      <c r="A403" s="24"/>
      <c r="B403" s="24"/>
      <c r="C403" s="37"/>
      <c r="D403" s="24"/>
    </row>
    <row r="404">
      <c r="A404" s="24"/>
      <c r="B404" s="24"/>
      <c r="C404" s="37"/>
      <c r="D404" s="24"/>
    </row>
    <row r="405">
      <c r="A405" s="24"/>
      <c r="B405" s="24"/>
      <c r="C405" s="37"/>
      <c r="D405" s="24"/>
    </row>
    <row r="406">
      <c r="A406" s="24"/>
      <c r="B406" s="24"/>
      <c r="C406" s="37"/>
      <c r="D406" s="24"/>
    </row>
    <row r="407">
      <c r="A407" s="24"/>
      <c r="B407" s="24"/>
      <c r="C407" s="37"/>
      <c r="D407" s="24"/>
    </row>
    <row r="408">
      <c r="A408" s="24"/>
      <c r="B408" s="24"/>
      <c r="C408" s="37"/>
      <c r="D408" s="24"/>
    </row>
    <row r="409">
      <c r="A409" s="24"/>
      <c r="B409" s="24"/>
      <c r="C409" s="37"/>
      <c r="D409" s="24"/>
    </row>
    <row r="410">
      <c r="A410" s="24"/>
      <c r="B410" s="24"/>
      <c r="C410" s="37"/>
      <c r="D410" s="24"/>
    </row>
    <row r="411">
      <c r="A411" s="24"/>
      <c r="B411" s="24"/>
      <c r="C411" s="37"/>
      <c r="D411" s="24"/>
    </row>
    <row r="412">
      <c r="A412" s="24"/>
      <c r="B412" s="24"/>
      <c r="C412" s="37"/>
      <c r="D412" s="24"/>
    </row>
    <row r="413">
      <c r="A413" s="24"/>
      <c r="B413" s="24"/>
      <c r="C413" s="37"/>
      <c r="D413" s="24"/>
    </row>
    <row r="414">
      <c r="A414" s="24"/>
      <c r="B414" s="24"/>
      <c r="C414" s="37"/>
      <c r="D414" s="24"/>
    </row>
    <row r="415">
      <c r="A415" s="24"/>
      <c r="B415" s="24"/>
      <c r="C415" s="37"/>
      <c r="D415" s="24"/>
    </row>
    <row r="416">
      <c r="A416" s="24"/>
      <c r="B416" s="24"/>
      <c r="C416" s="37"/>
      <c r="D416" s="24"/>
    </row>
    <row r="417">
      <c r="A417" s="24"/>
      <c r="B417" s="24"/>
      <c r="C417" s="37"/>
      <c r="D417" s="24"/>
    </row>
    <row r="418">
      <c r="A418" s="24"/>
      <c r="B418" s="24"/>
      <c r="C418" s="37"/>
      <c r="D418" s="24"/>
    </row>
    <row r="419">
      <c r="A419" s="24"/>
      <c r="B419" s="24"/>
      <c r="C419" s="37"/>
      <c r="D419" s="24"/>
    </row>
    <row r="420">
      <c r="A420" s="24"/>
      <c r="B420" s="24"/>
      <c r="C420" s="37"/>
      <c r="D420" s="24"/>
    </row>
    <row r="421">
      <c r="A421" s="24"/>
      <c r="B421" s="24"/>
      <c r="C421" s="37"/>
      <c r="D421" s="24"/>
    </row>
    <row r="422">
      <c r="A422" s="24"/>
      <c r="B422" s="24"/>
      <c r="C422" s="37"/>
      <c r="D422" s="24"/>
    </row>
    <row r="423">
      <c r="A423" s="24"/>
      <c r="B423" s="24"/>
      <c r="C423" s="37"/>
      <c r="D423" s="24"/>
    </row>
    <row r="424">
      <c r="A424" s="24"/>
      <c r="B424" s="24"/>
      <c r="C424" s="37"/>
      <c r="D424" s="24"/>
    </row>
    <row r="425">
      <c r="A425" s="24"/>
      <c r="B425" s="24"/>
      <c r="C425" s="37"/>
      <c r="D425" s="24"/>
    </row>
    <row r="426">
      <c r="A426" s="24"/>
      <c r="B426" s="24"/>
      <c r="C426" s="37"/>
      <c r="D426" s="24"/>
    </row>
    <row r="427">
      <c r="A427" s="24"/>
      <c r="B427" s="24"/>
      <c r="C427" s="37"/>
      <c r="D427" s="24"/>
    </row>
    <row r="428">
      <c r="A428" s="24"/>
      <c r="B428" s="24"/>
      <c r="C428" s="37"/>
      <c r="D428" s="24"/>
    </row>
    <row r="429">
      <c r="A429" s="24"/>
      <c r="B429" s="24"/>
      <c r="C429" s="37"/>
      <c r="D429" s="24"/>
    </row>
    <row r="430">
      <c r="A430" s="24"/>
      <c r="B430" s="24"/>
      <c r="C430" s="37"/>
      <c r="D430" s="24"/>
    </row>
    <row r="431">
      <c r="A431" s="24"/>
      <c r="B431" s="24"/>
      <c r="C431" s="37"/>
      <c r="D431" s="24"/>
    </row>
    <row r="432">
      <c r="A432" s="24"/>
      <c r="B432" s="24"/>
      <c r="C432" s="37"/>
      <c r="D432" s="24"/>
    </row>
    <row r="433">
      <c r="A433" s="24"/>
      <c r="B433" s="24"/>
      <c r="C433" s="37"/>
      <c r="D433" s="24"/>
    </row>
    <row r="434">
      <c r="A434" s="24"/>
      <c r="B434" s="24"/>
      <c r="C434" s="37"/>
      <c r="D434" s="24"/>
    </row>
    <row r="435">
      <c r="A435" s="24"/>
      <c r="B435" s="24"/>
      <c r="C435" s="37"/>
      <c r="D435" s="24"/>
    </row>
    <row r="436">
      <c r="A436" s="24"/>
      <c r="B436" s="24"/>
      <c r="C436" s="37"/>
      <c r="D436" s="24"/>
    </row>
    <row r="437">
      <c r="A437" s="24"/>
      <c r="B437" s="24"/>
      <c r="C437" s="37"/>
      <c r="D437" s="24"/>
    </row>
    <row r="438">
      <c r="A438" s="24"/>
      <c r="B438" s="24"/>
      <c r="C438" s="37"/>
      <c r="D438" s="24"/>
    </row>
    <row r="439">
      <c r="A439" s="24"/>
      <c r="B439" s="24"/>
      <c r="C439" s="37"/>
      <c r="D439" s="24"/>
    </row>
    <row r="440">
      <c r="A440" s="24"/>
      <c r="B440" s="24"/>
      <c r="C440" s="37"/>
      <c r="D440" s="24"/>
    </row>
    <row r="441">
      <c r="A441" s="24"/>
      <c r="B441" s="24"/>
      <c r="C441" s="37"/>
      <c r="D441" s="24"/>
    </row>
    <row r="442">
      <c r="A442" s="24"/>
      <c r="B442" s="24"/>
      <c r="C442" s="37"/>
      <c r="D442" s="24"/>
    </row>
    <row r="443">
      <c r="A443" s="24"/>
      <c r="B443" s="24"/>
      <c r="C443" s="37"/>
      <c r="D443" s="24"/>
    </row>
    <row r="444">
      <c r="A444" s="24"/>
      <c r="B444" s="24"/>
      <c r="C444" s="37"/>
      <c r="D444" s="24"/>
    </row>
    <row r="445">
      <c r="A445" s="24"/>
      <c r="B445" s="24"/>
      <c r="C445" s="37"/>
      <c r="D445" s="24"/>
    </row>
    <row r="446">
      <c r="A446" s="24"/>
      <c r="B446" s="24"/>
      <c r="C446" s="37"/>
      <c r="D446" s="24"/>
    </row>
    <row r="447">
      <c r="A447" s="24"/>
      <c r="B447" s="24"/>
      <c r="C447" s="37"/>
      <c r="D447" s="24"/>
    </row>
    <row r="448">
      <c r="A448" s="24"/>
      <c r="B448" s="24"/>
      <c r="C448" s="37"/>
      <c r="D448" s="24"/>
    </row>
    <row r="449">
      <c r="A449" s="24"/>
      <c r="B449" s="24"/>
      <c r="C449" s="37"/>
      <c r="D449" s="24"/>
    </row>
    <row r="450">
      <c r="A450" s="24"/>
      <c r="B450" s="24"/>
      <c r="C450" s="37"/>
      <c r="D450" s="24"/>
    </row>
    <row r="451">
      <c r="A451" s="24"/>
      <c r="B451" s="24"/>
      <c r="C451" s="37"/>
      <c r="D451" s="24"/>
    </row>
    <row r="452">
      <c r="A452" s="24"/>
      <c r="B452" s="24"/>
      <c r="C452" s="37"/>
      <c r="D452" s="24"/>
    </row>
    <row r="453">
      <c r="A453" s="24"/>
      <c r="B453" s="24"/>
      <c r="C453" s="37"/>
      <c r="D453" s="24"/>
    </row>
    <row r="454">
      <c r="A454" s="24"/>
      <c r="B454" s="24"/>
      <c r="C454" s="37"/>
      <c r="D454" s="24"/>
    </row>
    <row r="455">
      <c r="A455" s="24"/>
      <c r="B455" s="24"/>
      <c r="C455" s="37"/>
      <c r="D455" s="24"/>
    </row>
    <row r="456">
      <c r="A456" s="24"/>
      <c r="B456" s="24"/>
      <c r="C456" s="37"/>
      <c r="D456" s="24"/>
    </row>
    <row r="457">
      <c r="A457" s="24"/>
      <c r="B457" s="24"/>
      <c r="C457" s="37"/>
      <c r="D457" s="24"/>
    </row>
    <row r="458">
      <c r="A458" s="24"/>
      <c r="B458" s="24"/>
      <c r="C458" s="37"/>
      <c r="D458" s="24"/>
    </row>
    <row r="459">
      <c r="A459" s="24"/>
      <c r="B459" s="24"/>
      <c r="C459" s="37"/>
      <c r="D459" s="24"/>
    </row>
    <row r="460">
      <c r="A460" s="24"/>
      <c r="B460" s="24"/>
      <c r="C460" s="37"/>
      <c r="D460" s="24"/>
    </row>
    <row r="461">
      <c r="A461" s="24"/>
      <c r="B461" s="24"/>
      <c r="C461" s="37"/>
      <c r="D461" s="24"/>
    </row>
    <row r="462">
      <c r="A462" s="24"/>
      <c r="B462" s="24"/>
      <c r="C462" s="37"/>
      <c r="D462" s="24"/>
    </row>
    <row r="463">
      <c r="A463" s="24"/>
      <c r="B463" s="24"/>
      <c r="C463" s="37"/>
      <c r="D463" s="24"/>
    </row>
    <row r="464">
      <c r="A464" s="24"/>
      <c r="B464" s="24"/>
      <c r="C464" s="37"/>
      <c r="D464" s="24"/>
    </row>
    <row r="465">
      <c r="A465" s="24"/>
      <c r="B465" s="24"/>
      <c r="C465" s="37"/>
      <c r="D465" s="24"/>
    </row>
    <row r="466">
      <c r="A466" s="24"/>
      <c r="B466" s="24"/>
      <c r="C466" s="37"/>
      <c r="D466" s="24"/>
    </row>
    <row r="467">
      <c r="A467" s="24"/>
      <c r="B467" s="24"/>
      <c r="C467" s="37"/>
      <c r="D467" s="24"/>
    </row>
    <row r="468">
      <c r="A468" s="24"/>
      <c r="B468" s="24"/>
      <c r="C468" s="37"/>
      <c r="D468" s="24"/>
    </row>
    <row r="469">
      <c r="A469" s="24"/>
      <c r="B469" s="24"/>
      <c r="C469" s="37"/>
      <c r="D469" s="24"/>
    </row>
    <row r="470">
      <c r="A470" s="24"/>
      <c r="B470" s="24"/>
      <c r="C470" s="37"/>
      <c r="D470" s="24"/>
    </row>
    <row r="471">
      <c r="A471" s="24"/>
      <c r="B471" s="24"/>
      <c r="C471" s="37"/>
      <c r="D471" s="24"/>
    </row>
    <row r="472">
      <c r="A472" s="24"/>
      <c r="B472" s="24"/>
      <c r="C472" s="37"/>
      <c r="D472" s="24"/>
    </row>
    <row r="473">
      <c r="A473" s="24"/>
      <c r="B473" s="24"/>
      <c r="C473" s="37"/>
      <c r="D473" s="24"/>
    </row>
    <row r="474">
      <c r="A474" s="24"/>
      <c r="B474" s="24"/>
      <c r="C474" s="37"/>
      <c r="D474" s="24"/>
    </row>
    <row r="475">
      <c r="A475" s="24"/>
      <c r="B475" s="24"/>
      <c r="C475" s="37"/>
      <c r="D475" s="24"/>
    </row>
    <row r="476">
      <c r="A476" s="24"/>
      <c r="B476" s="24"/>
      <c r="C476" s="37"/>
      <c r="D476" s="24"/>
    </row>
    <row r="477">
      <c r="A477" s="24"/>
      <c r="B477" s="24"/>
      <c r="C477" s="37"/>
      <c r="D477" s="24"/>
    </row>
    <row r="478">
      <c r="A478" s="24"/>
      <c r="B478" s="24"/>
      <c r="C478" s="37"/>
      <c r="D478" s="24"/>
    </row>
    <row r="479">
      <c r="A479" s="24"/>
      <c r="B479" s="24"/>
      <c r="C479" s="37"/>
      <c r="D479" s="24"/>
    </row>
    <row r="480">
      <c r="A480" s="24"/>
      <c r="B480" s="24"/>
      <c r="C480" s="37"/>
      <c r="D480" s="24"/>
    </row>
    <row r="481">
      <c r="A481" s="24"/>
      <c r="B481" s="24"/>
      <c r="C481" s="37"/>
      <c r="D481" s="24"/>
    </row>
    <row r="482">
      <c r="A482" s="24"/>
      <c r="B482" s="24"/>
      <c r="C482" s="37"/>
      <c r="D482" s="24"/>
    </row>
    <row r="483">
      <c r="A483" s="24"/>
      <c r="B483" s="24"/>
      <c r="C483" s="37"/>
      <c r="D483" s="24"/>
    </row>
    <row r="484">
      <c r="A484" s="24"/>
      <c r="B484" s="24"/>
      <c r="C484" s="37"/>
      <c r="D484" s="24"/>
    </row>
    <row r="485">
      <c r="A485" s="24"/>
      <c r="B485" s="24"/>
      <c r="C485" s="37"/>
      <c r="D485" s="24"/>
    </row>
    <row r="486">
      <c r="A486" s="24"/>
      <c r="B486" s="24"/>
      <c r="C486" s="37"/>
      <c r="D486" s="24"/>
    </row>
    <row r="487">
      <c r="A487" s="24"/>
      <c r="B487" s="24"/>
      <c r="C487" s="37"/>
      <c r="D487" s="24"/>
    </row>
    <row r="488">
      <c r="A488" s="24"/>
      <c r="B488" s="24"/>
      <c r="C488" s="37"/>
      <c r="D488" s="24"/>
    </row>
    <row r="489">
      <c r="A489" s="24"/>
      <c r="B489" s="24"/>
      <c r="C489" s="37"/>
      <c r="D489" s="24"/>
    </row>
    <row r="490">
      <c r="A490" s="24"/>
      <c r="B490" s="24"/>
      <c r="C490" s="37"/>
      <c r="D490" s="24"/>
    </row>
    <row r="491">
      <c r="A491" s="24"/>
      <c r="B491" s="24"/>
      <c r="C491" s="37"/>
      <c r="D491" s="24"/>
    </row>
    <row r="492">
      <c r="A492" s="24"/>
      <c r="B492" s="24"/>
      <c r="C492" s="37"/>
      <c r="D492" s="24"/>
    </row>
    <row r="493">
      <c r="A493" s="24"/>
      <c r="B493" s="24"/>
      <c r="C493" s="37"/>
      <c r="D493" s="24"/>
    </row>
    <row r="494">
      <c r="A494" s="24"/>
      <c r="B494" s="24"/>
      <c r="C494" s="37"/>
      <c r="D494" s="24"/>
    </row>
    <row r="495">
      <c r="A495" s="24"/>
      <c r="B495" s="24"/>
      <c r="C495" s="37"/>
      <c r="D495" s="24"/>
    </row>
    <row r="496">
      <c r="A496" s="24"/>
      <c r="B496" s="24"/>
      <c r="C496" s="37"/>
      <c r="D496" s="24"/>
    </row>
    <row r="497">
      <c r="A497" s="24"/>
      <c r="B497" s="24"/>
      <c r="C497" s="37"/>
      <c r="D497" s="24"/>
    </row>
    <row r="498">
      <c r="A498" s="24"/>
      <c r="B498" s="24"/>
      <c r="C498" s="37"/>
      <c r="D498" s="24"/>
    </row>
    <row r="499">
      <c r="A499" s="24"/>
      <c r="B499" s="24"/>
      <c r="C499" s="37"/>
      <c r="D499" s="24"/>
    </row>
    <row r="500">
      <c r="A500" s="24"/>
      <c r="B500" s="24"/>
      <c r="C500" s="37"/>
      <c r="D500" s="24"/>
    </row>
    <row r="501">
      <c r="A501" s="24"/>
      <c r="B501" s="24"/>
      <c r="C501" s="37"/>
      <c r="D501" s="24"/>
    </row>
    <row r="502">
      <c r="A502" s="24"/>
      <c r="B502" s="24"/>
      <c r="C502" s="37"/>
      <c r="D502" s="24"/>
    </row>
    <row r="503">
      <c r="A503" s="24"/>
      <c r="B503" s="24"/>
      <c r="C503" s="37"/>
      <c r="D503" s="24"/>
    </row>
    <row r="504">
      <c r="A504" s="24"/>
      <c r="B504" s="24"/>
      <c r="C504" s="37"/>
      <c r="D504" s="24"/>
    </row>
    <row r="505">
      <c r="A505" s="24"/>
      <c r="B505" s="24"/>
      <c r="C505" s="37"/>
      <c r="D505" s="24"/>
    </row>
    <row r="506">
      <c r="A506" s="24"/>
      <c r="B506" s="24"/>
      <c r="C506" s="37"/>
      <c r="D506" s="24"/>
    </row>
    <row r="507">
      <c r="A507" s="24"/>
      <c r="B507" s="24"/>
      <c r="C507" s="37"/>
      <c r="D507" s="24"/>
    </row>
    <row r="508">
      <c r="A508" s="24"/>
      <c r="B508" s="24"/>
      <c r="C508" s="37"/>
      <c r="D508" s="24"/>
    </row>
    <row r="509">
      <c r="A509" s="24"/>
      <c r="B509" s="24"/>
      <c r="C509" s="37"/>
      <c r="D509" s="24"/>
    </row>
    <row r="510">
      <c r="A510" s="24"/>
      <c r="B510" s="24"/>
      <c r="C510" s="37"/>
      <c r="D510" s="24"/>
    </row>
    <row r="511">
      <c r="A511" s="24"/>
      <c r="B511" s="24"/>
      <c r="C511" s="37"/>
      <c r="D511" s="24"/>
    </row>
    <row r="512">
      <c r="A512" s="24"/>
      <c r="B512" s="24"/>
      <c r="C512" s="37"/>
      <c r="D512" s="24"/>
    </row>
    <row r="513">
      <c r="A513" s="24"/>
      <c r="B513" s="24"/>
      <c r="C513" s="37"/>
      <c r="D513" s="24"/>
    </row>
    <row r="514">
      <c r="A514" s="24"/>
      <c r="B514" s="24"/>
      <c r="C514" s="37"/>
      <c r="D514" s="24"/>
    </row>
    <row r="515">
      <c r="A515" s="24"/>
      <c r="B515" s="24"/>
      <c r="C515" s="37"/>
      <c r="D515" s="24"/>
    </row>
    <row r="516">
      <c r="A516" s="24"/>
      <c r="B516" s="24"/>
      <c r="C516" s="37"/>
      <c r="D516" s="24"/>
    </row>
    <row r="517">
      <c r="A517" s="24"/>
      <c r="B517" s="24"/>
      <c r="C517" s="37"/>
      <c r="D517" s="24"/>
    </row>
    <row r="518">
      <c r="A518" s="24"/>
      <c r="B518" s="24"/>
      <c r="C518" s="37"/>
      <c r="D518" s="24"/>
    </row>
    <row r="519">
      <c r="A519" s="24"/>
      <c r="B519" s="24"/>
      <c r="C519" s="37"/>
      <c r="D519" s="24"/>
    </row>
    <row r="520">
      <c r="A520" s="24"/>
      <c r="B520" s="24"/>
      <c r="C520" s="37"/>
      <c r="D520" s="24"/>
    </row>
    <row r="521">
      <c r="A521" s="24"/>
      <c r="B521" s="24"/>
      <c r="C521" s="37"/>
      <c r="D521" s="24"/>
    </row>
    <row r="522">
      <c r="A522" s="24"/>
      <c r="B522" s="24"/>
      <c r="C522" s="37"/>
      <c r="D522" s="24"/>
    </row>
    <row r="523">
      <c r="A523" s="24"/>
      <c r="B523" s="24"/>
      <c r="C523" s="37"/>
      <c r="D523" s="24"/>
    </row>
    <row r="524">
      <c r="A524" s="24"/>
      <c r="B524" s="24"/>
      <c r="C524" s="37"/>
      <c r="D524" s="24"/>
    </row>
    <row r="525">
      <c r="A525" s="24"/>
      <c r="B525" s="24"/>
      <c r="C525" s="37"/>
      <c r="D525" s="24"/>
    </row>
    <row r="526">
      <c r="A526" s="24"/>
      <c r="B526" s="24"/>
      <c r="C526" s="37"/>
      <c r="D526" s="24"/>
    </row>
    <row r="527">
      <c r="A527" s="24"/>
      <c r="B527" s="24"/>
      <c r="C527" s="37"/>
      <c r="D527" s="24"/>
    </row>
    <row r="528">
      <c r="A528" s="24"/>
      <c r="B528" s="24"/>
      <c r="C528" s="37"/>
      <c r="D528" s="24"/>
    </row>
    <row r="529">
      <c r="A529" s="24"/>
      <c r="B529" s="24"/>
      <c r="C529" s="37"/>
      <c r="D529" s="24"/>
    </row>
    <row r="530">
      <c r="A530" s="24"/>
      <c r="B530" s="24"/>
      <c r="C530" s="37"/>
      <c r="D530" s="24"/>
    </row>
    <row r="531">
      <c r="A531" s="24"/>
      <c r="B531" s="24"/>
      <c r="C531" s="37"/>
      <c r="D531" s="24"/>
    </row>
    <row r="532">
      <c r="A532" s="24"/>
      <c r="B532" s="24"/>
      <c r="C532" s="37"/>
      <c r="D532" s="24"/>
    </row>
    <row r="533">
      <c r="A533" s="24"/>
      <c r="B533" s="24"/>
      <c r="C533" s="37"/>
      <c r="D533" s="24"/>
    </row>
    <row r="534">
      <c r="A534" s="24"/>
      <c r="B534" s="24"/>
      <c r="C534" s="37"/>
      <c r="D534" s="24"/>
    </row>
    <row r="535">
      <c r="A535" s="24"/>
      <c r="B535" s="24"/>
      <c r="C535" s="37"/>
      <c r="D535" s="24"/>
    </row>
    <row r="536">
      <c r="A536" s="24"/>
      <c r="B536" s="24"/>
      <c r="C536" s="37"/>
      <c r="D536" s="24"/>
    </row>
    <row r="537">
      <c r="A537" s="24"/>
      <c r="B537" s="24"/>
      <c r="C537" s="37"/>
      <c r="D537" s="24"/>
    </row>
    <row r="538">
      <c r="A538" s="24"/>
      <c r="B538" s="24"/>
      <c r="C538" s="37"/>
      <c r="D538" s="24"/>
    </row>
    <row r="539">
      <c r="A539" s="24"/>
      <c r="B539" s="24"/>
      <c r="C539" s="37"/>
      <c r="D539" s="24"/>
    </row>
    <row r="540">
      <c r="A540" s="24"/>
      <c r="B540" s="24"/>
      <c r="C540" s="37"/>
      <c r="D540" s="24"/>
    </row>
    <row r="541">
      <c r="A541" s="24"/>
      <c r="B541" s="24"/>
      <c r="C541" s="37"/>
      <c r="D541" s="24"/>
    </row>
    <row r="542">
      <c r="A542" s="24"/>
      <c r="B542" s="24"/>
      <c r="C542" s="37"/>
      <c r="D542" s="24"/>
    </row>
    <row r="543">
      <c r="A543" s="24"/>
      <c r="B543" s="24"/>
      <c r="C543" s="37"/>
      <c r="D543" s="24"/>
    </row>
    <row r="544">
      <c r="A544" s="24"/>
      <c r="B544" s="24"/>
      <c r="C544" s="37"/>
      <c r="D544" s="24"/>
    </row>
    <row r="545">
      <c r="A545" s="24"/>
      <c r="B545" s="24"/>
      <c r="C545" s="37"/>
      <c r="D545" s="24"/>
    </row>
    <row r="546">
      <c r="A546" s="24"/>
      <c r="B546" s="24"/>
      <c r="C546" s="37"/>
      <c r="D546" s="24"/>
    </row>
    <row r="547">
      <c r="A547" s="24"/>
      <c r="B547" s="24"/>
      <c r="C547" s="37"/>
      <c r="D547" s="24"/>
    </row>
    <row r="548">
      <c r="A548" s="24"/>
      <c r="B548" s="24"/>
      <c r="C548" s="37"/>
      <c r="D548" s="24"/>
    </row>
    <row r="549">
      <c r="A549" s="24"/>
      <c r="B549" s="24"/>
      <c r="C549" s="37"/>
      <c r="D549" s="24"/>
    </row>
    <row r="550">
      <c r="A550" s="24"/>
      <c r="B550" s="24"/>
      <c r="C550" s="37"/>
      <c r="D550" s="24"/>
    </row>
    <row r="551">
      <c r="A551" s="24"/>
      <c r="B551" s="24"/>
      <c r="C551" s="37"/>
      <c r="D551" s="24"/>
    </row>
    <row r="552">
      <c r="A552" s="24"/>
      <c r="B552" s="24"/>
      <c r="C552" s="37"/>
      <c r="D552" s="24"/>
    </row>
    <row r="553">
      <c r="A553" s="24"/>
      <c r="B553" s="24"/>
      <c r="C553" s="37"/>
      <c r="D553" s="24"/>
    </row>
    <row r="554">
      <c r="A554" s="24"/>
      <c r="B554" s="24"/>
      <c r="C554" s="37"/>
      <c r="D554" s="24"/>
    </row>
    <row r="555">
      <c r="A555" s="24"/>
      <c r="B555" s="24"/>
      <c r="C555" s="37"/>
      <c r="D555" s="24"/>
    </row>
    <row r="556">
      <c r="A556" s="24"/>
      <c r="B556" s="24"/>
      <c r="C556" s="37"/>
      <c r="D556" s="24"/>
    </row>
    <row r="557">
      <c r="A557" s="24"/>
      <c r="B557" s="24"/>
      <c r="C557" s="37"/>
      <c r="D557" s="24"/>
    </row>
    <row r="558">
      <c r="A558" s="24"/>
      <c r="B558" s="24"/>
      <c r="C558" s="37"/>
      <c r="D558" s="24"/>
    </row>
    <row r="559">
      <c r="A559" s="24"/>
      <c r="B559" s="24"/>
      <c r="C559" s="37"/>
      <c r="D559" s="24"/>
    </row>
    <row r="560">
      <c r="A560" s="24"/>
      <c r="B560" s="24"/>
      <c r="C560" s="37"/>
      <c r="D560" s="24"/>
    </row>
    <row r="561">
      <c r="A561" s="24"/>
      <c r="B561" s="24"/>
      <c r="C561" s="37"/>
      <c r="D561" s="24"/>
    </row>
    <row r="562">
      <c r="A562" s="24"/>
      <c r="B562" s="24"/>
      <c r="C562" s="37"/>
      <c r="D562" s="24"/>
    </row>
    <row r="563">
      <c r="A563" s="24"/>
      <c r="B563" s="24"/>
      <c r="C563" s="37"/>
      <c r="D563" s="24"/>
    </row>
    <row r="564">
      <c r="A564" s="24"/>
      <c r="B564" s="24"/>
      <c r="C564" s="37"/>
      <c r="D564" s="24"/>
    </row>
    <row r="565">
      <c r="A565" s="24"/>
      <c r="B565" s="24"/>
      <c r="C565" s="37"/>
      <c r="D565" s="24"/>
    </row>
    <row r="566">
      <c r="A566" s="24"/>
      <c r="B566" s="24"/>
      <c r="C566" s="37"/>
      <c r="D566" s="24"/>
    </row>
    <row r="567">
      <c r="A567" s="24"/>
      <c r="B567" s="24"/>
      <c r="C567" s="37"/>
      <c r="D567" s="24"/>
    </row>
    <row r="568">
      <c r="A568" s="24"/>
      <c r="B568" s="24"/>
      <c r="C568" s="37"/>
      <c r="D568" s="24"/>
    </row>
    <row r="569">
      <c r="A569" s="24"/>
      <c r="B569" s="24"/>
      <c r="C569" s="37"/>
      <c r="D569" s="24"/>
    </row>
    <row r="570">
      <c r="A570" s="24"/>
      <c r="B570" s="24"/>
      <c r="C570" s="37"/>
      <c r="D570" s="24"/>
    </row>
    <row r="571">
      <c r="A571" s="24"/>
      <c r="B571" s="24"/>
      <c r="C571" s="37"/>
      <c r="D571" s="24"/>
    </row>
    <row r="572">
      <c r="A572" s="24"/>
      <c r="B572" s="24"/>
      <c r="C572" s="37"/>
      <c r="D572" s="24"/>
    </row>
    <row r="573">
      <c r="A573" s="24"/>
      <c r="B573" s="24"/>
      <c r="C573" s="37"/>
      <c r="D573" s="24"/>
    </row>
    <row r="574">
      <c r="A574" s="24"/>
      <c r="B574" s="24"/>
      <c r="C574" s="37"/>
      <c r="D574" s="24"/>
    </row>
    <row r="575">
      <c r="A575" s="24"/>
      <c r="B575" s="24"/>
      <c r="C575" s="37"/>
      <c r="D575" s="24"/>
    </row>
    <row r="576">
      <c r="A576" s="24"/>
      <c r="B576" s="24"/>
      <c r="C576" s="37"/>
      <c r="D576" s="24"/>
    </row>
    <row r="577">
      <c r="A577" s="24"/>
      <c r="B577" s="24"/>
      <c r="C577" s="37"/>
      <c r="D577" s="24"/>
    </row>
    <row r="578">
      <c r="A578" s="24"/>
      <c r="B578" s="24"/>
      <c r="C578" s="37"/>
      <c r="D578" s="24"/>
    </row>
    <row r="579">
      <c r="A579" s="24"/>
      <c r="B579" s="24"/>
      <c r="C579" s="37"/>
      <c r="D579" s="24"/>
    </row>
    <row r="580">
      <c r="A580" s="24"/>
      <c r="B580" s="24"/>
      <c r="C580" s="37"/>
      <c r="D580" s="24"/>
    </row>
    <row r="581">
      <c r="A581" s="24"/>
      <c r="B581" s="24"/>
      <c r="C581" s="37"/>
      <c r="D581" s="24"/>
    </row>
    <row r="582">
      <c r="A582" s="24"/>
      <c r="B582" s="24"/>
      <c r="C582" s="37"/>
      <c r="D582" s="24"/>
    </row>
    <row r="583">
      <c r="A583" s="24"/>
      <c r="B583" s="24"/>
      <c r="C583" s="37"/>
      <c r="D583" s="24"/>
    </row>
    <row r="584">
      <c r="A584" s="24"/>
      <c r="B584" s="24"/>
      <c r="C584" s="37"/>
      <c r="D584" s="24"/>
    </row>
    <row r="585">
      <c r="A585" s="24"/>
      <c r="B585" s="24"/>
      <c r="C585" s="37"/>
      <c r="D585" s="24"/>
    </row>
    <row r="586">
      <c r="A586" s="24"/>
      <c r="B586" s="24"/>
      <c r="C586" s="37"/>
      <c r="D586" s="24"/>
    </row>
    <row r="587">
      <c r="A587" s="24"/>
      <c r="B587" s="24"/>
      <c r="C587" s="37"/>
      <c r="D587" s="24"/>
    </row>
    <row r="588">
      <c r="A588" s="24"/>
      <c r="B588" s="24"/>
      <c r="C588" s="37"/>
      <c r="D588" s="24"/>
    </row>
    <row r="589">
      <c r="A589" s="24"/>
      <c r="B589" s="24"/>
      <c r="C589" s="37"/>
      <c r="D589" s="24"/>
    </row>
    <row r="590">
      <c r="A590" s="24"/>
      <c r="B590" s="24"/>
      <c r="C590" s="37"/>
      <c r="D590" s="24"/>
    </row>
    <row r="591">
      <c r="A591" s="24"/>
      <c r="B591" s="24"/>
      <c r="C591" s="37"/>
      <c r="D591" s="24"/>
    </row>
    <row r="592">
      <c r="A592" s="24"/>
      <c r="B592" s="24"/>
      <c r="C592" s="37"/>
      <c r="D592" s="24"/>
    </row>
    <row r="593">
      <c r="A593" s="24"/>
      <c r="B593" s="24"/>
      <c r="C593" s="37"/>
      <c r="D593" s="24"/>
    </row>
    <row r="594">
      <c r="A594" s="24"/>
      <c r="B594" s="24"/>
      <c r="C594" s="37"/>
      <c r="D594" s="24"/>
    </row>
    <row r="595">
      <c r="A595" s="24"/>
      <c r="B595" s="24"/>
      <c r="C595" s="37"/>
      <c r="D595" s="24"/>
    </row>
    <row r="596">
      <c r="A596" s="24"/>
      <c r="B596" s="24"/>
      <c r="C596" s="37"/>
      <c r="D596" s="24"/>
    </row>
    <row r="597">
      <c r="A597" s="24"/>
      <c r="B597" s="24"/>
      <c r="C597" s="37"/>
      <c r="D597" s="24"/>
    </row>
    <row r="598">
      <c r="A598" s="24"/>
      <c r="B598" s="24"/>
      <c r="C598" s="37"/>
      <c r="D598" s="24"/>
    </row>
    <row r="599">
      <c r="A599" s="24"/>
      <c r="B599" s="24"/>
      <c r="C599" s="37"/>
      <c r="D599" s="24"/>
    </row>
    <row r="600">
      <c r="A600" s="24"/>
      <c r="B600" s="24"/>
      <c r="C600" s="37"/>
      <c r="D600" s="24"/>
    </row>
    <row r="601">
      <c r="A601" s="24"/>
      <c r="B601" s="24"/>
      <c r="C601" s="37"/>
      <c r="D601" s="24"/>
    </row>
    <row r="602">
      <c r="A602" s="24"/>
      <c r="B602" s="24"/>
      <c r="C602" s="37"/>
      <c r="D602" s="24"/>
    </row>
    <row r="603">
      <c r="A603" s="24"/>
      <c r="B603" s="24"/>
      <c r="C603" s="37"/>
      <c r="D603" s="24"/>
    </row>
    <row r="604">
      <c r="A604" s="24"/>
      <c r="B604" s="24"/>
      <c r="C604" s="37"/>
      <c r="D604" s="24"/>
    </row>
    <row r="605">
      <c r="A605" s="24"/>
      <c r="B605" s="24"/>
      <c r="C605" s="37"/>
      <c r="D605" s="24"/>
    </row>
    <row r="606">
      <c r="A606" s="24"/>
      <c r="B606" s="24"/>
      <c r="C606" s="37"/>
      <c r="D606" s="24"/>
    </row>
    <row r="607">
      <c r="A607" s="24"/>
      <c r="B607" s="24"/>
      <c r="C607" s="37"/>
      <c r="D607" s="24"/>
    </row>
    <row r="608">
      <c r="A608" s="24"/>
      <c r="B608" s="24"/>
      <c r="C608" s="37"/>
      <c r="D608" s="24"/>
    </row>
    <row r="609">
      <c r="A609" s="24"/>
      <c r="B609" s="24"/>
      <c r="C609" s="37"/>
      <c r="D609" s="24"/>
    </row>
    <row r="610">
      <c r="A610" s="24"/>
      <c r="B610" s="24"/>
      <c r="C610" s="37"/>
      <c r="D610" s="24"/>
    </row>
    <row r="611">
      <c r="A611" s="24"/>
      <c r="B611" s="24"/>
      <c r="C611" s="37"/>
      <c r="D611" s="24"/>
    </row>
    <row r="612">
      <c r="A612" s="24"/>
      <c r="B612" s="24"/>
      <c r="C612" s="37"/>
      <c r="D612" s="24"/>
    </row>
    <row r="613">
      <c r="A613" s="24"/>
      <c r="B613" s="24"/>
      <c r="C613" s="37"/>
      <c r="D613" s="24"/>
    </row>
    <row r="614">
      <c r="A614" s="24"/>
      <c r="B614" s="24"/>
      <c r="C614" s="37"/>
      <c r="D614" s="24"/>
    </row>
    <row r="615">
      <c r="A615" s="24"/>
      <c r="B615" s="24"/>
      <c r="C615" s="37"/>
      <c r="D615" s="24"/>
    </row>
    <row r="616">
      <c r="A616" s="24"/>
      <c r="B616" s="24"/>
      <c r="C616" s="37"/>
      <c r="D616" s="24"/>
    </row>
    <row r="617">
      <c r="A617" s="24"/>
      <c r="B617" s="24"/>
      <c r="C617" s="37"/>
      <c r="D617" s="24"/>
    </row>
    <row r="618">
      <c r="A618" s="24"/>
      <c r="B618" s="24"/>
      <c r="C618" s="37"/>
      <c r="D618" s="24"/>
    </row>
    <row r="619">
      <c r="A619" s="24"/>
      <c r="B619" s="24"/>
      <c r="C619" s="37"/>
      <c r="D619" s="24"/>
    </row>
    <row r="620">
      <c r="A620" s="24"/>
      <c r="B620" s="24"/>
      <c r="C620" s="37"/>
      <c r="D620" s="24"/>
    </row>
    <row r="621">
      <c r="A621" s="24"/>
      <c r="B621" s="24"/>
      <c r="C621" s="37"/>
      <c r="D621" s="24"/>
    </row>
    <row r="622">
      <c r="A622" s="24"/>
      <c r="B622" s="24"/>
      <c r="C622" s="37"/>
      <c r="D622" s="24"/>
    </row>
    <row r="623">
      <c r="A623" s="24"/>
      <c r="B623" s="24"/>
      <c r="C623" s="37"/>
      <c r="D623" s="24"/>
    </row>
    <row r="624">
      <c r="A624" s="24"/>
      <c r="B624" s="24"/>
      <c r="C624" s="37"/>
      <c r="D624" s="24"/>
    </row>
    <row r="625">
      <c r="A625" s="24"/>
      <c r="B625" s="24"/>
      <c r="C625" s="37"/>
      <c r="D625" s="24"/>
    </row>
    <row r="626">
      <c r="A626" s="24"/>
      <c r="B626" s="24"/>
      <c r="C626" s="37"/>
      <c r="D626" s="24"/>
    </row>
    <row r="627">
      <c r="A627" s="24"/>
      <c r="B627" s="24"/>
      <c r="C627" s="37"/>
      <c r="D627" s="24"/>
    </row>
    <row r="628">
      <c r="A628" s="24"/>
      <c r="B628" s="24"/>
      <c r="C628" s="37"/>
      <c r="D628" s="24"/>
    </row>
    <row r="629">
      <c r="A629" s="24"/>
      <c r="B629" s="24"/>
      <c r="C629" s="37"/>
      <c r="D629" s="24"/>
    </row>
    <row r="630">
      <c r="A630" s="24"/>
      <c r="B630" s="24"/>
      <c r="C630" s="37"/>
      <c r="D630" s="24"/>
    </row>
    <row r="631">
      <c r="A631" s="24"/>
      <c r="B631" s="24"/>
      <c r="C631" s="37"/>
      <c r="D631" s="24"/>
    </row>
    <row r="632">
      <c r="A632" s="24"/>
      <c r="B632" s="24"/>
      <c r="C632" s="37"/>
      <c r="D632" s="24"/>
    </row>
    <row r="633">
      <c r="A633" s="24"/>
      <c r="B633" s="24"/>
      <c r="C633" s="37"/>
      <c r="D633" s="24"/>
    </row>
    <row r="634">
      <c r="A634" s="24"/>
      <c r="B634" s="24"/>
      <c r="C634" s="37"/>
      <c r="D634" s="24"/>
    </row>
    <row r="635">
      <c r="A635" s="24"/>
      <c r="B635" s="24"/>
      <c r="C635" s="37"/>
      <c r="D635" s="24"/>
    </row>
    <row r="636">
      <c r="A636" s="24"/>
      <c r="B636" s="24"/>
      <c r="C636" s="37"/>
      <c r="D636" s="24"/>
    </row>
    <row r="637">
      <c r="A637" s="24"/>
      <c r="B637" s="24"/>
      <c r="C637" s="37"/>
      <c r="D637" s="24"/>
    </row>
    <row r="638">
      <c r="A638" s="24"/>
      <c r="B638" s="24"/>
      <c r="C638" s="37"/>
      <c r="D638" s="24"/>
    </row>
    <row r="639">
      <c r="A639" s="24"/>
      <c r="B639" s="24"/>
      <c r="C639" s="37"/>
      <c r="D639" s="24"/>
    </row>
    <row r="640">
      <c r="A640" s="24"/>
      <c r="B640" s="24"/>
      <c r="C640" s="37"/>
      <c r="D640" s="24"/>
    </row>
    <row r="641">
      <c r="A641" s="24"/>
      <c r="B641" s="24"/>
      <c r="C641" s="37"/>
      <c r="D641" s="24"/>
    </row>
    <row r="642">
      <c r="A642" s="24"/>
      <c r="B642" s="24"/>
      <c r="C642" s="37"/>
      <c r="D642" s="24"/>
    </row>
    <row r="643">
      <c r="A643" s="24"/>
      <c r="B643" s="24"/>
      <c r="C643" s="37"/>
      <c r="D643" s="24"/>
    </row>
    <row r="644">
      <c r="A644" s="24"/>
      <c r="B644" s="24"/>
      <c r="C644" s="37"/>
      <c r="D644" s="24"/>
    </row>
    <row r="645">
      <c r="A645" s="24"/>
      <c r="B645" s="24"/>
      <c r="C645" s="37"/>
      <c r="D645" s="24"/>
    </row>
    <row r="646">
      <c r="A646" s="24"/>
      <c r="B646" s="24"/>
      <c r="C646" s="37"/>
      <c r="D646" s="24"/>
    </row>
    <row r="647">
      <c r="A647" s="24"/>
      <c r="B647" s="24"/>
      <c r="C647" s="37"/>
      <c r="D647" s="24"/>
    </row>
    <row r="648">
      <c r="A648" s="24"/>
      <c r="B648" s="24"/>
      <c r="C648" s="37"/>
      <c r="D648" s="24"/>
    </row>
    <row r="649">
      <c r="A649" s="24"/>
      <c r="B649" s="24"/>
      <c r="C649" s="37"/>
      <c r="D649" s="24"/>
    </row>
    <row r="650">
      <c r="A650" s="24"/>
      <c r="B650" s="24"/>
      <c r="C650" s="37"/>
      <c r="D650" s="24"/>
    </row>
    <row r="651">
      <c r="A651" s="24"/>
      <c r="B651" s="24"/>
      <c r="C651" s="37"/>
      <c r="D651" s="24"/>
    </row>
    <row r="652">
      <c r="A652" s="24"/>
      <c r="B652" s="24"/>
      <c r="C652" s="37"/>
      <c r="D652" s="24"/>
    </row>
    <row r="653">
      <c r="A653" s="24"/>
      <c r="B653" s="24"/>
      <c r="C653" s="37"/>
      <c r="D653" s="24"/>
    </row>
    <row r="654">
      <c r="A654" s="24"/>
      <c r="B654" s="24"/>
      <c r="C654" s="37"/>
      <c r="D654" s="24"/>
    </row>
    <row r="655">
      <c r="A655" s="24"/>
      <c r="B655" s="24"/>
      <c r="C655" s="37"/>
      <c r="D655" s="24"/>
    </row>
    <row r="656">
      <c r="A656" s="24"/>
      <c r="B656" s="24"/>
      <c r="C656" s="37"/>
      <c r="D656" s="24"/>
    </row>
    <row r="657">
      <c r="A657" s="24"/>
      <c r="B657" s="24"/>
      <c r="C657" s="37"/>
      <c r="D657" s="24"/>
    </row>
    <row r="658">
      <c r="A658" s="24"/>
      <c r="B658" s="24"/>
      <c r="C658" s="37"/>
      <c r="D658" s="24"/>
    </row>
    <row r="659">
      <c r="A659" s="24"/>
      <c r="B659" s="24"/>
      <c r="C659" s="37"/>
      <c r="D659" s="24"/>
    </row>
    <row r="660">
      <c r="A660" s="24"/>
      <c r="B660" s="24"/>
      <c r="C660" s="37"/>
      <c r="D660" s="24"/>
    </row>
    <row r="661">
      <c r="A661" s="24"/>
      <c r="B661" s="24"/>
      <c r="C661" s="37"/>
      <c r="D661" s="24"/>
    </row>
    <row r="662">
      <c r="A662" s="24"/>
      <c r="B662" s="24"/>
      <c r="C662" s="37"/>
      <c r="D662" s="24"/>
    </row>
    <row r="663">
      <c r="A663" s="24"/>
      <c r="B663" s="24"/>
      <c r="C663" s="37"/>
      <c r="D663" s="24"/>
    </row>
    <row r="664">
      <c r="A664" s="24"/>
      <c r="B664" s="24"/>
      <c r="C664" s="37"/>
      <c r="D664" s="24"/>
    </row>
    <row r="665">
      <c r="A665" s="24"/>
      <c r="B665" s="24"/>
      <c r="C665" s="37"/>
      <c r="D665" s="24"/>
    </row>
    <row r="666">
      <c r="A666" s="24"/>
      <c r="B666" s="24"/>
      <c r="C666" s="37"/>
      <c r="D666" s="24"/>
    </row>
    <row r="667">
      <c r="A667" s="24"/>
      <c r="B667" s="24"/>
      <c r="C667" s="37"/>
      <c r="D667" s="24"/>
    </row>
    <row r="668">
      <c r="A668" s="24"/>
      <c r="B668" s="24"/>
      <c r="C668" s="37"/>
      <c r="D668" s="24"/>
    </row>
    <row r="669">
      <c r="A669" s="24"/>
      <c r="B669" s="24"/>
      <c r="C669" s="37"/>
      <c r="D669" s="24"/>
    </row>
    <row r="670">
      <c r="A670" s="24"/>
      <c r="B670" s="24"/>
      <c r="C670" s="37"/>
      <c r="D670" s="24"/>
    </row>
    <row r="671">
      <c r="A671" s="24"/>
      <c r="B671" s="24"/>
      <c r="C671" s="37"/>
      <c r="D671" s="24"/>
    </row>
    <row r="672">
      <c r="A672" s="24"/>
      <c r="B672" s="24"/>
      <c r="C672" s="37"/>
      <c r="D672" s="24"/>
    </row>
    <row r="673">
      <c r="A673" s="24"/>
      <c r="B673" s="24"/>
      <c r="C673" s="37"/>
      <c r="D673" s="24"/>
    </row>
    <row r="674">
      <c r="A674" s="24"/>
      <c r="B674" s="24"/>
      <c r="C674" s="37"/>
      <c r="D674" s="24"/>
    </row>
    <row r="675">
      <c r="A675" s="24"/>
      <c r="B675" s="24"/>
      <c r="C675" s="37"/>
      <c r="D675" s="24"/>
    </row>
    <row r="676">
      <c r="A676" s="24"/>
      <c r="B676" s="24"/>
      <c r="C676" s="37"/>
      <c r="D676" s="24"/>
    </row>
    <row r="677">
      <c r="A677" s="24"/>
      <c r="B677" s="24"/>
      <c r="C677" s="37"/>
      <c r="D677" s="24"/>
    </row>
    <row r="678">
      <c r="A678" s="24"/>
      <c r="B678" s="24"/>
      <c r="C678" s="37"/>
      <c r="D678" s="24"/>
    </row>
    <row r="679">
      <c r="A679" s="24"/>
      <c r="B679" s="24"/>
      <c r="C679" s="37"/>
      <c r="D679" s="24"/>
    </row>
    <row r="680">
      <c r="A680" s="24"/>
      <c r="B680" s="24"/>
      <c r="C680" s="37"/>
      <c r="D680" s="24"/>
    </row>
    <row r="681">
      <c r="A681" s="24"/>
      <c r="B681" s="24"/>
      <c r="C681" s="37"/>
      <c r="D681" s="24"/>
    </row>
    <row r="682">
      <c r="A682" s="24"/>
      <c r="B682" s="24"/>
      <c r="C682" s="37"/>
      <c r="D682" s="24"/>
    </row>
    <row r="683">
      <c r="A683" s="24"/>
      <c r="B683" s="24"/>
      <c r="C683" s="37"/>
      <c r="D683" s="24"/>
    </row>
    <row r="684">
      <c r="A684" s="24"/>
      <c r="B684" s="24"/>
      <c r="C684" s="37"/>
      <c r="D684" s="24"/>
    </row>
    <row r="685">
      <c r="A685" s="24"/>
      <c r="B685" s="24"/>
      <c r="C685" s="37"/>
      <c r="D685" s="24"/>
    </row>
    <row r="686">
      <c r="A686" s="24"/>
      <c r="B686" s="24"/>
      <c r="C686" s="37"/>
      <c r="D686" s="24"/>
    </row>
    <row r="687">
      <c r="A687" s="24"/>
      <c r="B687" s="24"/>
      <c r="C687" s="37"/>
      <c r="D687" s="24"/>
    </row>
    <row r="688">
      <c r="A688" s="24"/>
      <c r="B688" s="24"/>
      <c r="C688" s="37"/>
      <c r="D688" s="24"/>
    </row>
    <row r="689">
      <c r="A689" s="24"/>
      <c r="B689" s="24"/>
      <c r="C689" s="37"/>
      <c r="D689" s="24"/>
    </row>
    <row r="690">
      <c r="A690" s="24"/>
      <c r="B690" s="24"/>
      <c r="C690" s="37"/>
      <c r="D690" s="24"/>
    </row>
    <row r="691">
      <c r="A691" s="24"/>
      <c r="B691" s="24"/>
      <c r="C691" s="37"/>
      <c r="D691" s="24"/>
    </row>
    <row r="692">
      <c r="A692" s="24"/>
      <c r="B692" s="24"/>
      <c r="C692" s="37"/>
      <c r="D692" s="24"/>
    </row>
    <row r="693">
      <c r="A693" s="24"/>
      <c r="B693" s="24"/>
      <c r="C693" s="37"/>
      <c r="D693" s="24"/>
    </row>
    <row r="694">
      <c r="A694" s="24"/>
      <c r="B694" s="24"/>
      <c r="C694" s="37"/>
      <c r="D694" s="24"/>
    </row>
    <row r="695">
      <c r="A695" s="24"/>
      <c r="B695" s="24"/>
      <c r="C695" s="37"/>
      <c r="D695" s="24"/>
    </row>
    <row r="696">
      <c r="A696" s="24"/>
      <c r="B696" s="24"/>
      <c r="C696" s="37"/>
      <c r="D696" s="24"/>
    </row>
    <row r="697">
      <c r="A697" s="24"/>
      <c r="B697" s="24"/>
      <c r="C697" s="37"/>
      <c r="D697" s="24"/>
    </row>
    <row r="698">
      <c r="A698" s="24"/>
      <c r="B698" s="24"/>
      <c r="C698" s="37"/>
      <c r="D698" s="24"/>
    </row>
    <row r="699">
      <c r="A699" s="24"/>
      <c r="B699" s="24"/>
      <c r="C699" s="37"/>
      <c r="D699" s="24"/>
    </row>
    <row r="700">
      <c r="A700" s="24"/>
      <c r="B700" s="24"/>
      <c r="C700" s="37"/>
      <c r="D700" s="24"/>
    </row>
    <row r="701">
      <c r="A701" s="24"/>
      <c r="B701" s="24"/>
      <c r="C701" s="37"/>
      <c r="D701" s="24"/>
    </row>
    <row r="702">
      <c r="A702" s="24"/>
      <c r="B702" s="24"/>
      <c r="C702" s="37"/>
      <c r="D702" s="24"/>
    </row>
    <row r="703">
      <c r="A703" s="24"/>
      <c r="B703" s="24"/>
      <c r="C703" s="37"/>
      <c r="D703" s="24"/>
    </row>
    <row r="704">
      <c r="A704" s="24"/>
      <c r="B704" s="24"/>
      <c r="C704" s="37"/>
      <c r="D704" s="24"/>
    </row>
    <row r="705">
      <c r="A705" s="24"/>
      <c r="B705" s="24"/>
      <c r="C705" s="37"/>
      <c r="D705" s="24"/>
    </row>
    <row r="706">
      <c r="A706" s="24"/>
      <c r="B706" s="24"/>
      <c r="C706" s="37"/>
      <c r="D706" s="24"/>
    </row>
    <row r="707">
      <c r="A707" s="24"/>
      <c r="B707" s="24"/>
      <c r="C707" s="37"/>
      <c r="D707" s="24"/>
    </row>
    <row r="708">
      <c r="A708" s="24"/>
      <c r="B708" s="24"/>
      <c r="C708" s="37"/>
      <c r="D708" s="24"/>
    </row>
    <row r="709">
      <c r="A709" s="24"/>
      <c r="B709" s="24"/>
      <c r="C709" s="37"/>
      <c r="D709" s="24"/>
    </row>
    <row r="710">
      <c r="A710" s="24"/>
      <c r="B710" s="24"/>
      <c r="C710" s="37"/>
      <c r="D710" s="24"/>
    </row>
    <row r="711">
      <c r="A711" s="24"/>
      <c r="B711" s="24"/>
      <c r="C711" s="37"/>
      <c r="D711" s="24"/>
    </row>
    <row r="712">
      <c r="A712" s="24"/>
      <c r="B712" s="24"/>
      <c r="C712" s="37"/>
      <c r="D712" s="24"/>
    </row>
    <row r="713">
      <c r="A713" s="24"/>
      <c r="B713" s="24"/>
      <c r="C713" s="37"/>
      <c r="D713" s="24"/>
    </row>
    <row r="714">
      <c r="A714" s="24"/>
      <c r="B714" s="24"/>
      <c r="C714" s="37"/>
      <c r="D714" s="24"/>
    </row>
    <row r="715">
      <c r="A715" s="24"/>
      <c r="B715" s="24"/>
      <c r="C715" s="37"/>
      <c r="D715" s="24"/>
    </row>
    <row r="716">
      <c r="A716" s="24"/>
      <c r="B716" s="24"/>
      <c r="C716" s="37"/>
      <c r="D716" s="24"/>
    </row>
    <row r="717">
      <c r="A717" s="24"/>
      <c r="B717" s="24"/>
      <c r="C717" s="37"/>
      <c r="D717" s="24"/>
    </row>
    <row r="718">
      <c r="A718" s="24"/>
      <c r="B718" s="24"/>
      <c r="C718" s="37"/>
      <c r="D718" s="24"/>
    </row>
    <row r="719">
      <c r="A719" s="24"/>
      <c r="B719" s="24"/>
      <c r="C719" s="37"/>
      <c r="D719" s="24"/>
    </row>
    <row r="720">
      <c r="A720" s="24"/>
      <c r="B720" s="24"/>
      <c r="C720" s="37"/>
      <c r="D720" s="24"/>
    </row>
    <row r="721">
      <c r="A721" s="24"/>
      <c r="B721" s="24"/>
      <c r="C721" s="37"/>
      <c r="D721" s="24"/>
    </row>
    <row r="722">
      <c r="A722" s="24"/>
      <c r="B722" s="24"/>
      <c r="C722" s="37"/>
      <c r="D722" s="24"/>
    </row>
    <row r="723">
      <c r="A723" s="24"/>
      <c r="B723" s="24"/>
      <c r="C723" s="37"/>
      <c r="D723" s="24"/>
    </row>
    <row r="724">
      <c r="A724" s="24"/>
      <c r="B724" s="24"/>
      <c r="C724" s="37"/>
      <c r="D724" s="24"/>
    </row>
    <row r="725">
      <c r="A725" s="24"/>
      <c r="B725" s="24"/>
      <c r="C725" s="37"/>
      <c r="D725" s="24"/>
    </row>
    <row r="726">
      <c r="A726" s="24"/>
      <c r="B726" s="24"/>
      <c r="C726" s="37"/>
      <c r="D726" s="24"/>
    </row>
    <row r="727">
      <c r="A727" s="24"/>
      <c r="B727" s="24"/>
      <c r="C727" s="37"/>
      <c r="D727" s="24"/>
    </row>
    <row r="728">
      <c r="A728" s="24"/>
      <c r="B728" s="24"/>
      <c r="C728" s="37"/>
      <c r="D728" s="24"/>
    </row>
    <row r="729">
      <c r="A729" s="24"/>
      <c r="B729" s="24"/>
      <c r="C729" s="37"/>
      <c r="D729" s="24"/>
    </row>
    <row r="730">
      <c r="A730" s="24"/>
      <c r="B730" s="24"/>
      <c r="C730" s="37"/>
      <c r="D730" s="24"/>
    </row>
    <row r="731">
      <c r="A731" s="24"/>
      <c r="B731" s="24"/>
      <c r="C731" s="37"/>
      <c r="D731" s="24"/>
    </row>
    <row r="732">
      <c r="A732" s="24"/>
      <c r="B732" s="24"/>
      <c r="C732" s="37"/>
      <c r="D732" s="24"/>
    </row>
    <row r="733">
      <c r="A733" s="24"/>
      <c r="B733" s="24"/>
      <c r="C733" s="37"/>
      <c r="D733" s="24"/>
    </row>
    <row r="734">
      <c r="A734" s="24"/>
      <c r="B734" s="24"/>
      <c r="C734" s="37"/>
      <c r="D734" s="24"/>
    </row>
    <row r="735">
      <c r="A735" s="24"/>
      <c r="B735" s="24"/>
      <c r="C735" s="37"/>
      <c r="D735" s="24"/>
    </row>
    <row r="736">
      <c r="A736" s="24"/>
      <c r="B736" s="24"/>
      <c r="C736" s="37"/>
      <c r="D736" s="24"/>
    </row>
    <row r="737">
      <c r="A737" s="24"/>
      <c r="B737" s="24"/>
      <c r="C737" s="37"/>
      <c r="D737" s="24"/>
    </row>
    <row r="738">
      <c r="A738" s="24"/>
      <c r="B738" s="24"/>
      <c r="C738" s="37"/>
      <c r="D738" s="24"/>
    </row>
    <row r="739">
      <c r="A739" s="24"/>
      <c r="B739" s="24"/>
      <c r="C739" s="37"/>
      <c r="D739" s="24"/>
    </row>
    <row r="740">
      <c r="A740" s="24"/>
      <c r="B740" s="24"/>
      <c r="C740" s="37"/>
      <c r="D740" s="24"/>
    </row>
    <row r="741">
      <c r="A741" s="24"/>
      <c r="B741" s="24"/>
      <c r="C741" s="37"/>
      <c r="D741" s="24"/>
    </row>
    <row r="742">
      <c r="A742" s="24"/>
      <c r="B742" s="24"/>
      <c r="C742" s="37"/>
      <c r="D742" s="24"/>
    </row>
    <row r="743">
      <c r="A743" s="24"/>
      <c r="B743" s="24"/>
      <c r="C743" s="37"/>
      <c r="D743" s="24"/>
    </row>
    <row r="744">
      <c r="A744" s="24"/>
      <c r="B744" s="24"/>
      <c r="C744" s="37"/>
      <c r="D744" s="24"/>
    </row>
    <row r="745">
      <c r="A745" s="24"/>
      <c r="B745" s="24"/>
      <c r="C745" s="37"/>
      <c r="D745" s="24"/>
    </row>
    <row r="746">
      <c r="A746" s="24"/>
      <c r="B746" s="24"/>
      <c r="C746" s="37"/>
      <c r="D746" s="24"/>
    </row>
    <row r="747">
      <c r="A747" s="24"/>
      <c r="B747" s="24"/>
      <c r="C747" s="37"/>
      <c r="D747" s="24"/>
    </row>
    <row r="748">
      <c r="A748" s="24"/>
      <c r="B748" s="24"/>
      <c r="C748" s="37"/>
      <c r="D748" s="24"/>
    </row>
    <row r="749">
      <c r="A749" s="24"/>
      <c r="B749" s="24"/>
      <c r="C749" s="37"/>
      <c r="D749" s="24"/>
    </row>
    <row r="750">
      <c r="A750" s="24"/>
      <c r="B750" s="24"/>
      <c r="C750" s="37"/>
      <c r="D750" s="24"/>
    </row>
    <row r="751">
      <c r="A751" s="24"/>
      <c r="B751" s="24"/>
      <c r="C751" s="37"/>
      <c r="D751" s="24"/>
    </row>
    <row r="752">
      <c r="A752" s="24"/>
      <c r="B752" s="24"/>
      <c r="C752" s="37"/>
      <c r="D752" s="24"/>
    </row>
    <row r="753">
      <c r="A753" s="24"/>
      <c r="B753" s="24"/>
      <c r="C753" s="37"/>
      <c r="D753" s="24"/>
    </row>
    <row r="754">
      <c r="A754" s="24"/>
      <c r="B754" s="24"/>
      <c r="C754" s="37"/>
      <c r="D754" s="24"/>
    </row>
    <row r="755">
      <c r="A755" s="24"/>
      <c r="B755" s="24"/>
      <c r="C755" s="37"/>
      <c r="D755" s="24"/>
    </row>
    <row r="756">
      <c r="A756" s="24"/>
      <c r="B756" s="24"/>
      <c r="C756" s="37"/>
      <c r="D756" s="24"/>
    </row>
    <row r="757">
      <c r="A757" s="24"/>
      <c r="B757" s="24"/>
      <c r="C757" s="37"/>
      <c r="D757" s="24"/>
    </row>
    <row r="758">
      <c r="A758" s="24"/>
      <c r="B758" s="24"/>
      <c r="C758" s="37"/>
      <c r="D758" s="24"/>
    </row>
    <row r="759">
      <c r="A759" s="24"/>
      <c r="B759" s="24"/>
      <c r="C759" s="37"/>
      <c r="D759" s="24"/>
    </row>
    <row r="760">
      <c r="A760" s="24"/>
      <c r="B760" s="24"/>
      <c r="C760" s="37"/>
      <c r="D760" s="24"/>
    </row>
    <row r="761">
      <c r="A761" s="24"/>
      <c r="B761" s="24"/>
      <c r="C761" s="37"/>
      <c r="D761" s="24"/>
    </row>
    <row r="762">
      <c r="A762" s="24"/>
      <c r="B762" s="24"/>
      <c r="C762" s="37"/>
      <c r="D762" s="24"/>
    </row>
    <row r="763">
      <c r="A763" s="24"/>
      <c r="B763" s="24"/>
      <c r="C763" s="37"/>
      <c r="D763" s="24"/>
    </row>
    <row r="764">
      <c r="A764" s="24"/>
      <c r="B764" s="24"/>
      <c r="C764" s="37"/>
      <c r="D764" s="24"/>
    </row>
    <row r="765">
      <c r="A765" s="24"/>
      <c r="B765" s="24"/>
      <c r="C765" s="37"/>
      <c r="D765" s="24"/>
    </row>
    <row r="766">
      <c r="A766" s="24"/>
      <c r="B766" s="24"/>
      <c r="C766" s="37"/>
      <c r="D766" s="24"/>
    </row>
    <row r="767">
      <c r="A767" s="24"/>
      <c r="B767" s="24"/>
      <c r="C767" s="37"/>
      <c r="D767" s="24"/>
    </row>
    <row r="768">
      <c r="A768" s="24"/>
      <c r="B768" s="24"/>
      <c r="C768" s="37"/>
      <c r="D768" s="24"/>
    </row>
    <row r="769">
      <c r="A769" s="24"/>
      <c r="B769" s="24"/>
      <c r="C769" s="37"/>
      <c r="D769" s="24"/>
    </row>
    <row r="770">
      <c r="A770" s="24"/>
      <c r="B770" s="24"/>
      <c r="C770" s="37"/>
      <c r="D770" s="24"/>
    </row>
    <row r="771">
      <c r="A771" s="24"/>
      <c r="B771" s="24"/>
      <c r="C771" s="37"/>
      <c r="D771" s="24"/>
    </row>
    <row r="772">
      <c r="A772" s="24"/>
      <c r="B772" s="24"/>
      <c r="C772" s="37"/>
      <c r="D772" s="24"/>
    </row>
    <row r="773">
      <c r="A773" s="24"/>
      <c r="B773" s="24"/>
      <c r="C773" s="37"/>
      <c r="D773" s="24"/>
    </row>
    <row r="774">
      <c r="A774" s="24"/>
      <c r="B774" s="24"/>
      <c r="C774" s="37"/>
      <c r="D774" s="24"/>
    </row>
    <row r="775">
      <c r="A775" s="24"/>
      <c r="B775" s="24"/>
      <c r="C775" s="37"/>
      <c r="D775" s="24"/>
    </row>
    <row r="776">
      <c r="A776" s="24"/>
      <c r="B776" s="24"/>
      <c r="C776" s="37"/>
      <c r="D776" s="24"/>
    </row>
    <row r="777">
      <c r="A777" s="24"/>
      <c r="B777" s="24"/>
      <c r="C777" s="37"/>
      <c r="D777" s="24"/>
    </row>
    <row r="778">
      <c r="A778" s="24"/>
      <c r="B778" s="24"/>
      <c r="C778" s="37"/>
      <c r="D778" s="24"/>
    </row>
    <row r="779">
      <c r="A779" s="24"/>
      <c r="B779" s="24"/>
      <c r="C779" s="37"/>
      <c r="D779" s="24"/>
    </row>
    <row r="780">
      <c r="A780" s="24"/>
      <c r="B780" s="24"/>
      <c r="C780" s="37"/>
      <c r="D780" s="24"/>
    </row>
    <row r="781">
      <c r="A781" s="24"/>
      <c r="B781" s="24"/>
      <c r="C781" s="37"/>
      <c r="D781" s="24"/>
    </row>
    <row r="782">
      <c r="A782" s="24"/>
      <c r="B782" s="24"/>
      <c r="C782" s="37"/>
      <c r="D782" s="24"/>
    </row>
    <row r="783">
      <c r="A783" s="24"/>
      <c r="B783" s="24"/>
      <c r="C783" s="37"/>
      <c r="D783" s="24"/>
    </row>
    <row r="784">
      <c r="A784" s="24"/>
      <c r="B784" s="24"/>
      <c r="C784" s="37"/>
      <c r="D784" s="24"/>
    </row>
    <row r="785">
      <c r="A785" s="24"/>
      <c r="B785" s="24"/>
      <c r="C785" s="37"/>
      <c r="D785" s="24"/>
    </row>
    <row r="786">
      <c r="A786" s="24"/>
      <c r="B786" s="24"/>
      <c r="C786" s="37"/>
      <c r="D786" s="24"/>
    </row>
    <row r="787">
      <c r="A787" s="24"/>
      <c r="B787" s="24"/>
      <c r="C787" s="37"/>
      <c r="D787" s="24"/>
    </row>
    <row r="788">
      <c r="A788" s="24"/>
      <c r="B788" s="24"/>
      <c r="C788" s="37"/>
      <c r="D788" s="24"/>
    </row>
    <row r="789">
      <c r="A789" s="24"/>
      <c r="B789" s="24"/>
      <c r="C789" s="37"/>
      <c r="D789" s="24"/>
    </row>
    <row r="790">
      <c r="A790" s="24"/>
      <c r="B790" s="24"/>
      <c r="C790" s="37"/>
      <c r="D790" s="24"/>
    </row>
    <row r="791">
      <c r="A791" s="24"/>
      <c r="B791" s="24"/>
      <c r="C791" s="37"/>
      <c r="D791" s="24"/>
    </row>
    <row r="792">
      <c r="A792" s="24"/>
      <c r="B792" s="24"/>
      <c r="C792" s="37"/>
      <c r="D792" s="24"/>
    </row>
    <row r="793">
      <c r="A793" s="24"/>
      <c r="B793" s="24"/>
      <c r="C793" s="37"/>
      <c r="D793" s="24"/>
    </row>
    <row r="794">
      <c r="A794" s="24"/>
      <c r="B794" s="24"/>
      <c r="C794" s="37"/>
      <c r="D794" s="24"/>
    </row>
    <row r="795">
      <c r="A795" s="24"/>
      <c r="B795" s="24"/>
      <c r="C795" s="37"/>
      <c r="D795" s="24"/>
    </row>
    <row r="796">
      <c r="A796" s="24"/>
      <c r="B796" s="24"/>
      <c r="C796" s="37"/>
      <c r="D796" s="24"/>
    </row>
    <row r="797">
      <c r="A797" s="24"/>
      <c r="B797" s="24"/>
      <c r="C797" s="37"/>
      <c r="D797" s="24"/>
    </row>
    <row r="798">
      <c r="A798" s="24"/>
      <c r="B798" s="24"/>
      <c r="C798" s="37"/>
      <c r="D798" s="24"/>
    </row>
    <row r="799">
      <c r="A799" s="24"/>
      <c r="B799" s="24"/>
      <c r="C799" s="37"/>
      <c r="D799" s="24"/>
    </row>
    <row r="800">
      <c r="A800" s="24"/>
      <c r="B800" s="24"/>
      <c r="C800" s="37"/>
      <c r="D800" s="24"/>
    </row>
    <row r="801">
      <c r="A801" s="24"/>
      <c r="B801" s="24"/>
      <c r="C801" s="37"/>
      <c r="D801" s="24"/>
    </row>
    <row r="802">
      <c r="A802" s="24"/>
      <c r="B802" s="24"/>
      <c r="C802" s="37"/>
      <c r="D802" s="24"/>
    </row>
    <row r="803">
      <c r="A803" s="24"/>
      <c r="B803" s="24"/>
      <c r="C803" s="37"/>
      <c r="D803" s="24"/>
    </row>
    <row r="804">
      <c r="A804" s="24"/>
      <c r="B804" s="24"/>
      <c r="C804" s="37"/>
      <c r="D804" s="24"/>
    </row>
    <row r="805">
      <c r="A805" s="24"/>
      <c r="B805" s="24"/>
      <c r="C805" s="37"/>
      <c r="D805" s="24"/>
    </row>
    <row r="806">
      <c r="A806" s="24"/>
      <c r="B806" s="24"/>
      <c r="C806" s="37"/>
      <c r="D806" s="24"/>
    </row>
    <row r="807">
      <c r="A807" s="24"/>
      <c r="B807" s="24"/>
      <c r="C807" s="37"/>
      <c r="D807" s="24"/>
    </row>
    <row r="808">
      <c r="A808" s="24"/>
      <c r="B808" s="24"/>
      <c r="C808" s="37"/>
      <c r="D808" s="24"/>
    </row>
    <row r="809">
      <c r="A809" s="24"/>
      <c r="B809" s="24"/>
      <c r="C809" s="37"/>
      <c r="D809" s="24"/>
    </row>
    <row r="810">
      <c r="A810" s="24"/>
      <c r="B810" s="24"/>
      <c r="C810" s="37"/>
      <c r="D810" s="24"/>
    </row>
    <row r="811">
      <c r="A811" s="24"/>
      <c r="B811" s="24"/>
      <c r="C811" s="37"/>
      <c r="D811" s="24"/>
    </row>
    <row r="812">
      <c r="A812" s="24"/>
      <c r="B812" s="24"/>
      <c r="C812" s="37"/>
      <c r="D812" s="24"/>
    </row>
    <row r="813">
      <c r="A813" s="24"/>
      <c r="B813" s="24"/>
      <c r="C813" s="37"/>
      <c r="D813" s="24"/>
    </row>
    <row r="814">
      <c r="A814" s="24"/>
      <c r="B814" s="24"/>
      <c r="C814" s="37"/>
      <c r="D814" s="24"/>
    </row>
    <row r="815">
      <c r="A815" s="24"/>
      <c r="B815" s="24"/>
      <c r="C815" s="37"/>
      <c r="D815" s="24"/>
    </row>
    <row r="816">
      <c r="A816" s="24"/>
      <c r="B816" s="24"/>
      <c r="C816" s="37"/>
      <c r="D816" s="24"/>
    </row>
    <row r="817">
      <c r="A817" s="24"/>
      <c r="B817" s="24"/>
      <c r="C817" s="37"/>
      <c r="D817" s="24"/>
    </row>
    <row r="818">
      <c r="A818" s="24"/>
      <c r="B818" s="24"/>
      <c r="C818" s="37"/>
      <c r="D818" s="24"/>
    </row>
    <row r="819">
      <c r="A819" s="24"/>
      <c r="B819" s="24"/>
      <c r="C819" s="37"/>
      <c r="D819" s="24"/>
    </row>
    <row r="820">
      <c r="A820" s="24"/>
      <c r="B820" s="24"/>
      <c r="C820" s="37"/>
      <c r="D820" s="24"/>
    </row>
    <row r="821">
      <c r="A821" s="24"/>
      <c r="B821" s="24"/>
      <c r="C821" s="37"/>
      <c r="D821" s="24"/>
    </row>
    <row r="822">
      <c r="A822" s="24"/>
      <c r="B822" s="24"/>
      <c r="C822" s="37"/>
      <c r="D822" s="24"/>
    </row>
    <row r="823">
      <c r="A823" s="24"/>
      <c r="B823" s="24"/>
      <c r="C823" s="37"/>
      <c r="D823" s="24"/>
    </row>
    <row r="824">
      <c r="A824" s="24"/>
      <c r="B824" s="24"/>
      <c r="C824" s="37"/>
      <c r="D824" s="24"/>
    </row>
    <row r="825">
      <c r="A825" s="24"/>
      <c r="B825" s="24"/>
      <c r="C825" s="37"/>
      <c r="D825" s="24"/>
    </row>
    <row r="826">
      <c r="A826" s="24"/>
      <c r="B826" s="24"/>
      <c r="C826" s="37"/>
      <c r="D826" s="24"/>
    </row>
    <row r="827">
      <c r="A827" s="24"/>
      <c r="B827" s="24"/>
      <c r="C827" s="37"/>
      <c r="D827" s="24"/>
    </row>
    <row r="828">
      <c r="A828" s="24"/>
      <c r="B828" s="24"/>
      <c r="C828" s="37"/>
      <c r="D828" s="24"/>
    </row>
    <row r="829">
      <c r="A829" s="24"/>
      <c r="B829" s="24"/>
      <c r="C829" s="37"/>
      <c r="D829" s="24"/>
    </row>
    <row r="830">
      <c r="A830" s="24"/>
      <c r="B830" s="24"/>
      <c r="C830" s="37"/>
      <c r="D830" s="24"/>
    </row>
    <row r="831">
      <c r="A831" s="24"/>
      <c r="B831" s="24"/>
      <c r="C831" s="37"/>
      <c r="D831" s="24"/>
    </row>
    <row r="832">
      <c r="A832" s="24"/>
      <c r="B832" s="24"/>
      <c r="C832" s="37"/>
      <c r="D832" s="24"/>
    </row>
    <row r="833">
      <c r="A833" s="24"/>
      <c r="B833" s="24"/>
      <c r="C833" s="37"/>
      <c r="D833" s="24"/>
    </row>
    <row r="834">
      <c r="A834" s="24"/>
      <c r="B834" s="24"/>
      <c r="C834" s="37"/>
      <c r="D834" s="24"/>
    </row>
    <row r="835">
      <c r="A835" s="24"/>
      <c r="B835" s="24"/>
      <c r="C835" s="37"/>
      <c r="D835" s="24"/>
    </row>
    <row r="836">
      <c r="A836" s="24"/>
      <c r="B836" s="24"/>
      <c r="C836" s="37"/>
      <c r="D836" s="24"/>
    </row>
    <row r="837">
      <c r="A837" s="24"/>
      <c r="B837" s="24"/>
      <c r="C837" s="37"/>
      <c r="D837" s="24"/>
    </row>
    <row r="838">
      <c r="A838" s="24"/>
      <c r="B838" s="24"/>
      <c r="C838" s="37"/>
      <c r="D838" s="24"/>
    </row>
    <row r="839">
      <c r="A839" s="24"/>
      <c r="B839" s="24"/>
      <c r="C839" s="37"/>
      <c r="D839" s="24"/>
    </row>
    <row r="840">
      <c r="A840" s="24"/>
      <c r="B840" s="24"/>
      <c r="C840" s="37"/>
      <c r="D840" s="24"/>
    </row>
    <row r="841">
      <c r="A841" s="24"/>
      <c r="B841" s="24"/>
      <c r="C841" s="37"/>
      <c r="D841" s="24"/>
    </row>
    <row r="842">
      <c r="A842" s="24"/>
      <c r="B842" s="24"/>
      <c r="C842" s="37"/>
      <c r="D842" s="24"/>
    </row>
    <row r="843">
      <c r="A843" s="24"/>
      <c r="B843" s="24"/>
      <c r="C843" s="37"/>
      <c r="D843" s="24"/>
    </row>
    <row r="844">
      <c r="A844" s="24"/>
      <c r="B844" s="24"/>
      <c r="C844" s="37"/>
      <c r="D844" s="24"/>
    </row>
    <row r="845">
      <c r="A845" s="24"/>
      <c r="B845" s="24"/>
      <c r="C845" s="37"/>
      <c r="D845" s="24"/>
    </row>
    <row r="846">
      <c r="A846" s="24"/>
      <c r="B846" s="24"/>
      <c r="C846" s="37"/>
      <c r="D846" s="24"/>
    </row>
    <row r="847">
      <c r="A847" s="24"/>
      <c r="B847" s="24"/>
      <c r="C847" s="37"/>
      <c r="D847" s="24"/>
    </row>
    <row r="848">
      <c r="A848" s="24"/>
      <c r="B848" s="24"/>
      <c r="C848" s="37"/>
      <c r="D848" s="24"/>
    </row>
    <row r="849">
      <c r="A849" s="24"/>
      <c r="B849" s="24"/>
      <c r="C849" s="37"/>
      <c r="D849" s="24"/>
    </row>
    <row r="850">
      <c r="A850" s="24"/>
      <c r="B850" s="24"/>
      <c r="C850" s="37"/>
      <c r="D850" s="24"/>
    </row>
    <row r="851">
      <c r="A851" s="24"/>
      <c r="B851" s="24"/>
      <c r="C851" s="37"/>
      <c r="D851" s="24"/>
    </row>
    <row r="852">
      <c r="A852" s="24"/>
      <c r="B852" s="24"/>
      <c r="C852" s="37"/>
      <c r="D852" s="24"/>
    </row>
    <row r="853">
      <c r="A853" s="24"/>
      <c r="B853" s="24"/>
      <c r="C853" s="37"/>
      <c r="D853" s="24"/>
    </row>
    <row r="854">
      <c r="A854" s="24"/>
      <c r="B854" s="24"/>
      <c r="C854" s="37"/>
      <c r="D854" s="24"/>
    </row>
    <row r="855">
      <c r="A855" s="24"/>
      <c r="B855" s="24"/>
      <c r="C855" s="37"/>
      <c r="D855" s="24"/>
    </row>
    <row r="856">
      <c r="A856" s="24"/>
      <c r="B856" s="24"/>
      <c r="C856" s="37"/>
      <c r="D856" s="24"/>
    </row>
    <row r="857">
      <c r="A857" s="24"/>
      <c r="B857" s="24"/>
      <c r="C857" s="37"/>
      <c r="D857" s="24"/>
    </row>
    <row r="858">
      <c r="A858" s="24"/>
      <c r="B858" s="24"/>
      <c r="C858" s="37"/>
      <c r="D858" s="24"/>
    </row>
    <row r="859">
      <c r="A859" s="24"/>
      <c r="B859" s="24"/>
      <c r="C859" s="37"/>
      <c r="D859" s="24"/>
    </row>
    <row r="860">
      <c r="A860" s="24"/>
      <c r="B860" s="24"/>
      <c r="C860" s="37"/>
      <c r="D860" s="24"/>
    </row>
    <row r="861">
      <c r="A861" s="24"/>
      <c r="B861" s="24"/>
      <c r="C861" s="37"/>
      <c r="D861" s="24"/>
    </row>
    <row r="862">
      <c r="A862" s="24"/>
      <c r="B862" s="24"/>
      <c r="C862" s="37"/>
      <c r="D862" s="24"/>
    </row>
    <row r="863">
      <c r="A863" s="24"/>
      <c r="B863" s="24"/>
      <c r="C863" s="37"/>
      <c r="D863" s="24"/>
    </row>
    <row r="864">
      <c r="A864" s="24"/>
      <c r="B864" s="24"/>
      <c r="C864" s="37"/>
      <c r="D864" s="24"/>
    </row>
    <row r="865">
      <c r="A865" s="24"/>
      <c r="B865" s="24"/>
      <c r="C865" s="37"/>
      <c r="D865" s="24"/>
    </row>
    <row r="866">
      <c r="A866" s="24"/>
      <c r="B866" s="24"/>
      <c r="C866" s="37"/>
      <c r="D866" s="24"/>
    </row>
    <row r="867">
      <c r="A867" s="24"/>
      <c r="B867" s="24"/>
      <c r="C867" s="37"/>
      <c r="D867" s="24"/>
    </row>
    <row r="868">
      <c r="A868" s="24"/>
      <c r="B868" s="24"/>
      <c r="C868" s="37"/>
      <c r="D868" s="24"/>
    </row>
    <row r="869">
      <c r="A869" s="24"/>
      <c r="B869" s="24"/>
      <c r="C869" s="37"/>
      <c r="D869" s="24"/>
    </row>
    <row r="870">
      <c r="A870" s="24"/>
      <c r="B870" s="24"/>
      <c r="C870" s="37"/>
      <c r="D870" s="24"/>
    </row>
    <row r="871">
      <c r="A871" s="24"/>
      <c r="B871" s="24"/>
      <c r="C871" s="37"/>
      <c r="D871" s="24"/>
    </row>
    <row r="872">
      <c r="A872" s="24"/>
      <c r="B872" s="24"/>
      <c r="C872" s="37"/>
      <c r="D872" s="24"/>
    </row>
    <row r="873">
      <c r="A873" s="24"/>
      <c r="B873" s="24"/>
      <c r="C873" s="37"/>
      <c r="D873" s="24"/>
    </row>
    <row r="874">
      <c r="A874" s="24"/>
      <c r="B874" s="24"/>
      <c r="C874" s="37"/>
      <c r="D874" s="24"/>
    </row>
    <row r="875">
      <c r="A875" s="24"/>
      <c r="B875" s="24"/>
      <c r="C875" s="37"/>
      <c r="D875" s="24"/>
    </row>
    <row r="876">
      <c r="A876" s="24"/>
      <c r="B876" s="24"/>
      <c r="C876" s="37"/>
      <c r="D876" s="24"/>
    </row>
    <row r="877">
      <c r="A877" s="24"/>
      <c r="B877" s="24"/>
      <c r="C877" s="37"/>
      <c r="D877" s="24"/>
    </row>
    <row r="878">
      <c r="A878" s="24"/>
      <c r="B878" s="24"/>
      <c r="C878" s="37"/>
      <c r="D878" s="24"/>
    </row>
    <row r="879">
      <c r="A879" s="24"/>
      <c r="B879" s="24"/>
      <c r="C879" s="37"/>
      <c r="D879" s="24"/>
    </row>
    <row r="880">
      <c r="A880" s="24"/>
      <c r="B880" s="24"/>
      <c r="C880" s="37"/>
      <c r="D880" s="24"/>
    </row>
    <row r="881">
      <c r="A881" s="24"/>
      <c r="B881" s="24"/>
      <c r="C881" s="37"/>
      <c r="D881" s="24"/>
    </row>
    <row r="882">
      <c r="A882" s="24"/>
      <c r="B882" s="24"/>
      <c r="C882" s="37"/>
      <c r="D882" s="24"/>
    </row>
    <row r="883">
      <c r="A883" s="24"/>
      <c r="B883" s="24"/>
      <c r="C883" s="37"/>
      <c r="D883" s="24"/>
    </row>
    <row r="884">
      <c r="A884" s="24"/>
      <c r="B884" s="24"/>
      <c r="C884" s="37"/>
      <c r="D884" s="24"/>
    </row>
    <row r="885">
      <c r="A885" s="24"/>
      <c r="B885" s="24"/>
      <c r="C885" s="37"/>
      <c r="D885" s="24"/>
    </row>
    <row r="886">
      <c r="A886" s="24"/>
      <c r="B886" s="24"/>
      <c r="C886" s="37"/>
      <c r="D886" s="24"/>
    </row>
    <row r="887">
      <c r="A887" s="24"/>
      <c r="B887" s="24"/>
      <c r="C887" s="37"/>
      <c r="D887" s="24"/>
    </row>
    <row r="888">
      <c r="A888" s="24"/>
      <c r="B888" s="24"/>
      <c r="C888" s="37"/>
      <c r="D888" s="24"/>
    </row>
    <row r="889">
      <c r="A889" s="24"/>
      <c r="B889" s="24"/>
      <c r="C889" s="37"/>
      <c r="D889" s="24"/>
    </row>
    <row r="890">
      <c r="A890" s="24"/>
      <c r="B890" s="24"/>
      <c r="C890" s="37"/>
      <c r="D890" s="24"/>
    </row>
    <row r="891">
      <c r="A891" s="24"/>
      <c r="B891" s="24"/>
      <c r="C891" s="37"/>
      <c r="D891" s="24"/>
    </row>
    <row r="892">
      <c r="A892" s="24"/>
      <c r="B892" s="24"/>
      <c r="C892" s="37"/>
      <c r="D892" s="24"/>
    </row>
    <row r="893">
      <c r="A893" s="24"/>
      <c r="B893" s="24"/>
      <c r="C893" s="37"/>
      <c r="D893" s="24"/>
    </row>
    <row r="894">
      <c r="A894" s="24"/>
      <c r="B894" s="24"/>
      <c r="C894" s="37"/>
      <c r="D894" s="24"/>
    </row>
    <row r="895">
      <c r="A895" s="24"/>
      <c r="B895" s="24"/>
      <c r="C895" s="37"/>
      <c r="D895" s="24"/>
    </row>
    <row r="896">
      <c r="A896" s="24"/>
      <c r="B896" s="24"/>
      <c r="C896" s="37"/>
      <c r="D896" s="24"/>
    </row>
    <row r="897">
      <c r="A897" s="24"/>
      <c r="B897" s="24"/>
      <c r="C897" s="37"/>
      <c r="D897" s="24"/>
    </row>
    <row r="898">
      <c r="A898" s="24"/>
      <c r="B898" s="24"/>
      <c r="C898" s="37"/>
      <c r="D898" s="24"/>
    </row>
    <row r="899">
      <c r="A899" s="24"/>
      <c r="B899" s="24"/>
      <c r="C899" s="37"/>
      <c r="D899" s="24"/>
    </row>
    <row r="900">
      <c r="A900" s="24"/>
      <c r="B900" s="24"/>
      <c r="C900" s="37"/>
      <c r="D900" s="24"/>
    </row>
    <row r="901">
      <c r="A901" s="24"/>
      <c r="B901" s="24"/>
      <c r="C901" s="37"/>
      <c r="D901" s="24"/>
    </row>
    <row r="902">
      <c r="A902" s="24"/>
      <c r="B902" s="24"/>
      <c r="C902" s="37"/>
      <c r="D902" s="24"/>
    </row>
    <row r="903">
      <c r="A903" s="24"/>
      <c r="B903" s="24"/>
      <c r="C903" s="37"/>
      <c r="D903" s="24"/>
    </row>
    <row r="904">
      <c r="A904" s="24"/>
      <c r="B904" s="24"/>
      <c r="C904" s="37"/>
      <c r="D904" s="24"/>
    </row>
    <row r="905">
      <c r="A905" s="24"/>
      <c r="B905" s="24"/>
      <c r="C905" s="37"/>
      <c r="D905" s="24"/>
    </row>
    <row r="906">
      <c r="A906" s="24"/>
      <c r="B906" s="24"/>
      <c r="C906" s="37"/>
      <c r="D906" s="24"/>
    </row>
    <row r="907">
      <c r="A907" s="24"/>
      <c r="B907" s="24"/>
      <c r="C907" s="37"/>
      <c r="D907" s="24"/>
    </row>
    <row r="908">
      <c r="A908" s="24"/>
      <c r="B908" s="24"/>
      <c r="C908" s="37"/>
      <c r="D908" s="24"/>
    </row>
    <row r="909">
      <c r="A909" s="24"/>
      <c r="B909" s="24"/>
      <c r="C909" s="37"/>
      <c r="D909" s="24"/>
    </row>
    <row r="910">
      <c r="A910" s="24"/>
      <c r="B910" s="24"/>
      <c r="C910" s="37"/>
      <c r="D910" s="24"/>
    </row>
    <row r="911">
      <c r="A911" s="24"/>
      <c r="B911" s="24"/>
      <c r="C911" s="37"/>
      <c r="D911" s="24"/>
    </row>
    <row r="912">
      <c r="A912" s="24"/>
      <c r="B912" s="24"/>
      <c r="C912" s="37"/>
      <c r="D912" s="24"/>
    </row>
    <row r="913">
      <c r="A913" s="24"/>
      <c r="B913" s="24"/>
      <c r="C913" s="37"/>
      <c r="D913" s="24"/>
    </row>
    <row r="914">
      <c r="A914" s="24"/>
      <c r="B914" s="24"/>
      <c r="C914" s="37"/>
      <c r="D914" s="24"/>
    </row>
    <row r="915">
      <c r="A915" s="24"/>
      <c r="B915" s="24"/>
      <c r="C915" s="37"/>
      <c r="D915" s="24"/>
    </row>
    <row r="916">
      <c r="A916" s="24"/>
      <c r="B916" s="24"/>
      <c r="C916" s="37"/>
      <c r="D916" s="24"/>
    </row>
    <row r="917">
      <c r="A917" s="24"/>
      <c r="B917" s="24"/>
      <c r="C917" s="37"/>
      <c r="D917" s="24"/>
    </row>
    <row r="918">
      <c r="A918" s="24"/>
      <c r="B918" s="24"/>
      <c r="C918" s="37"/>
      <c r="D918" s="24"/>
    </row>
    <row r="919">
      <c r="A919" s="24"/>
      <c r="B919" s="24"/>
      <c r="C919" s="37"/>
      <c r="D919" s="24"/>
    </row>
    <row r="920">
      <c r="A920" s="24"/>
      <c r="B920" s="24"/>
      <c r="C920" s="37"/>
      <c r="D920" s="24"/>
    </row>
    <row r="921">
      <c r="A921" s="24"/>
      <c r="B921" s="24"/>
      <c r="C921" s="37"/>
      <c r="D921" s="24"/>
    </row>
    <row r="922">
      <c r="A922" s="24"/>
      <c r="B922" s="24"/>
      <c r="C922" s="37"/>
      <c r="D922" s="24"/>
    </row>
    <row r="923">
      <c r="A923" s="24"/>
      <c r="B923" s="24"/>
      <c r="C923" s="37"/>
      <c r="D923" s="24"/>
    </row>
    <row r="924">
      <c r="A924" s="24"/>
      <c r="B924" s="24"/>
      <c r="C924" s="37"/>
      <c r="D924" s="24"/>
    </row>
    <row r="925">
      <c r="A925" s="24"/>
      <c r="B925" s="24"/>
      <c r="C925" s="37"/>
      <c r="D925" s="24"/>
    </row>
    <row r="926">
      <c r="A926" s="24"/>
      <c r="B926" s="24"/>
      <c r="C926" s="37"/>
      <c r="D926" s="24"/>
    </row>
    <row r="927">
      <c r="A927" s="24"/>
      <c r="B927" s="24"/>
      <c r="C927" s="37"/>
      <c r="D927" s="24"/>
    </row>
    <row r="928">
      <c r="A928" s="24"/>
      <c r="B928" s="24"/>
      <c r="C928" s="37"/>
      <c r="D928" s="24"/>
    </row>
    <row r="929">
      <c r="A929" s="24"/>
      <c r="B929" s="24"/>
      <c r="C929" s="37"/>
      <c r="D929" s="24"/>
    </row>
    <row r="930">
      <c r="A930" s="24"/>
      <c r="B930" s="24"/>
      <c r="C930" s="37"/>
      <c r="D930" s="24"/>
    </row>
    <row r="931">
      <c r="A931" s="24"/>
      <c r="B931" s="24"/>
      <c r="C931" s="37"/>
      <c r="D931" s="24"/>
    </row>
    <row r="932">
      <c r="A932" s="24"/>
      <c r="B932" s="24"/>
      <c r="C932" s="37"/>
      <c r="D932" s="24"/>
    </row>
    <row r="933">
      <c r="A933" s="24"/>
      <c r="B933" s="24"/>
      <c r="C933" s="37"/>
      <c r="D933" s="24"/>
    </row>
    <row r="934">
      <c r="A934" s="24"/>
      <c r="B934" s="24"/>
      <c r="C934" s="37"/>
      <c r="D934" s="24"/>
    </row>
    <row r="935">
      <c r="A935" s="24"/>
      <c r="B935" s="24"/>
      <c r="C935" s="37"/>
      <c r="D935" s="24"/>
    </row>
    <row r="936">
      <c r="A936" s="24"/>
      <c r="B936" s="24"/>
      <c r="C936" s="37"/>
      <c r="D936" s="24"/>
    </row>
    <row r="937">
      <c r="A937" s="24"/>
      <c r="B937" s="24"/>
      <c r="C937" s="37"/>
      <c r="D937" s="24"/>
    </row>
    <row r="938">
      <c r="A938" s="24"/>
      <c r="B938" s="24"/>
      <c r="C938" s="37"/>
      <c r="D938" s="24"/>
    </row>
    <row r="939">
      <c r="A939" s="24"/>
      <c r="B939" s="24"/>
      <c r="C939" s="37"/>
      <c r="D939" s="24"/>
    </row>
    <row r="940">
      <c r="A940" s="24"/>
      <c r="B940" s="24"/>
      <c r="C940" s="37"/>
      <c r="D940" s="24"/>
    </row>
    <row r="941">
      <c r="A941" s="24"/>
      <c r="B941" s="24"/>
      <c r="C941" s="37"/>
      <c r="D941" s="24"/>
    </row>
    <row r="942">
      <c r="A942" s="24"/>
      <c r="B942" s="24"/>
      <c r="C942" s="37"/>
      <c r="D942" s="24"/>
    </row>
    <row r="943">
      <c r="A943" s="24"/>
      <c r="B943" s="24"/>
      <c r="C943" s="37"/>
      <c r="D943" s="24"/>
    </row>
    <row r="944">
      <c r="A944" s="24"/>
      <c r="B944" s="24"/>
      <c r="C944" s="37"/>
      <c r="D944" s="24"/>
    </row>
    <row r="945">
      <c r="A945" s="24"/>
      <c r="B945" s="24"/>
      <c r="C945" s="37"/>
      <c r="D945" s="24"/>
    </row>
    <row r="946">
      <c r="A946" s="24"/>
      <c r="B946" s="24"/>
      <c r="C946" s="37"/>
      <c r="D946" s="24"/>
    </row>
    <row r="947">
      <c r="A947" s="24"/>
      <c r="B947" s="24"/>
      <c r="C947" s="37"/>
      <c r="D947" s="24"/>
    </row>
    <row r="948">
      <c r="A948" s="24"/>
      <c r="B948" s="24"/>
      <c r="C948" s="37"/>
      <c r="D948" s="24"/>
    </row>
    <row r="949">
      <c r="A949" s="24"/>
      <c r="B949" s="24"/>
      <c r="C949" s="37"/>
      <c r="D949" s="24"/>
    </row>
    <row r="950">
      <c r="A950" s="24"/>
      <c r="B950" s="24"/>
      <c r="C950" s="37"/>
      <c r="D950" s="24"/>
    </row>
    <row r="951">
      <c r="A951" s="24"/>
      <c r="B951" s="24"/>
      <c r="C951" s="37"/>
      <c r="D951" s="24"/>
    </row>
    <row r="952">
      <c r="A952" s="24"/>
      <c r="B952" s="24"/>
      <c r="C952" s="37"/>
      <c r="D952" s="24"/>
    </row>
    <row r="953">
      <c r="A953" s="24"/>
      <c r="B953" s="24"/>
      <c r="C953" s="37"/>
      <c r="D953" s="24"/>
    </row>
    <row r="954">
      <c r="A954" s="24"/>
      <c r="B954" s="24"/>
      <c r="C954" s="37"/>
      <c r="D954" s="24"/>
    </row>
    <row r="955">
      <c r="A955" s="24"/>
      <c r="B955" s="24"/>
      <c r="C955" s="37"/>
      <c r="D955" s="24"/>
    </row>
    <row r="956">
      <c r="A956" s="24"/>
      <c r="B956" s="24"/>
      <c r="C956" s="37"/>
      <c r="D956" s="24"/>
    </row>
    <row r="957">
      <c r="A957" s="24"/>
      <c r="B957" s="24"/>
      <c r="C957" s="37"/>
      <c r="D957" s="24"/>
    </row>
    <row r="958">
      <c r="A958" s="24"/>
      <c r="B958" s="24"/>
      <c r="C958" s="37"/>
      <c r="D958" s="24"/>
    </row>
    <row r="959">
      <c r="A959" s="24"/>
      <c r="B959" s="24"/>
      <c r="C959" s="37"/>
      <c r="D959" s="24"/>
    </row>
    <row r="960">
      <c r="A960" s="24"/>
      <c r="B960" s="24"/>
      <c r="C960" s="37"/>
      <c r="D960" s="24"/>
    </row>
    <row r="961">
      <c r="A961" s="24"/>
      <c r="B961" s="24"/>
      <c r="C961" s="37"/>
      <c r="D961" s="24"/>
    </row>
    <row r="962">
      <c r="A962" s="24"/>
      <c r="B962" s="24"/>
      <c r="C962" s="37"/>
      <c r="D962" s="24"/>
    </row>
    <row r="963">
      <c r="A963" s="24"/>
      <c r="B963" s="24"/>
      <c r="C963" s="37"/>
      <c r="D963" s="24"/>
    </row>
    <row r="964">
      <c r="A964" s="24"/>
      <c r="B964" s="24"/>
      <c r="C964" s="37"/>
      <c r="D964" s="24"/>
    </row>
    <row r="965">
      <c r="A965" s="24"/>
      <c r="B965" s="24"/>
      <c r="C965" s="37"/>
      <c r="D965" s="24"/>
    </row>
    <row r="966">
      <c r="A966" s="24"/>
      <c r="B966" s="24"/>
      <c r="C966" s="37"/>
      <c r="D966" s="24"/>
    </row>
    <row r="967">
      <c r="A967" s="24"/>
      <c r="B967" s="24"/>
      <c r="C967" s="37"/>
      <c r="D967" s="24"/>
    </row>
    <row r="968">
      <c r="A968" s="24"/>
      <c r="B968" s="24"/>
      <c r="C968" s="37"/>
      <c r="D968" s="24"/>
    </row>
    <row r="969">
      <c r="A969" s="24"/>
      <c r="B969" s="24"/>
      <c r="C969" s="37"/>
      <c r="D969" s="24"/>
    </row>
    <row r="970">
      <c r="A970" s="24"/>
      <c r="B970" s="24"/>
      <c r="C970" s="37"/>
      <c r="D970" s="24"/>
    </row>
    <row r="971">
      <c r="A971" s="24"/>
      <c r="B971" s="24"/>
      <c r="C971" s="37"/>
      <c r="D971" s="24"/>
    </row>
    <row r="972">
      <c r="A972" s="24"/>
      <c r="B972" s="24"/>
      <c r="C972" s="37"/>
      <c r="D972" s="24"/>
    </row>
    <row r="973">
      <c r="A973" s="24"/>
      <c r="B973" s="24"/>
      <c r="C973" s="37"/>
      <c r="D973" s="24"/>
    </row>
    <row r="974">
      <c r="A974" s="24"/>
      <c r="B974" s="24"/>
      <c r="C974" s="37"/>
      <c r="D974" s="24"/>
    </row>
    <row r="975">
      <c r="A975" s="24"/>
      <c r="B975" s="24"/>
      <c r="C975" s="37"/>
      <c r="D975" s="24"/>
    </row>
    <row r="976">
      <c r="A976" s="24"/>
      <c r="B976" s="24"/>
      <c r="C976" s="37"/>
      <c r="D976" s="24"/>
    </row>
    <row r="977">
      <c r="A977" s="24"/>
      <c r="B977" s="24"/>
      <c r="C977" s="37"/>
      <c r="D977" s="24"/>
    </row>
    <row r="978">
      <c r="A978" s="24"/>
      <c r="B978" s="24"/>
      <c r="C978" s="37"/>
      <c r="D978" s="24"/>
    </row>
    <row r="979">
      <c r="A979" s="24"/>
      <c r="B979" s="24"/>
      <c r="C979" s="37"/>
      <c r="D979" s="24"/>
    </row>
    <row r="980">
      <c r="A980" s="24"/>
      <c r="B980" s="24"/>
      <c r="C980" s="37"/>
      <c r="D980" s="24"/>
    </row>
    <row r="981">
      <c r="A981" s="24"/>
      <c r="B981" s="24"/>
      <c r="C981" s="37"/>
      <c r="D981" s="24"/>
    </row>
    <row r="982">
      <c r="A982" s="24"/>
      <c r="B982" s="24"/>
      <c r="C982" s="37"/>
      <c r="D982" s="24"/>
    </row>
    <row r="983">
      <c r="A983" s="24"/>
      <c r="B983" s="24"/>
      <c r="C983" s="37"/>
      <c r="D983" s="24"/>
    </row>
    <row r="984">
      <c r="A984" s="24"/>
      <c r="B984" s="24"/>
      <c r="C984" s="37"/>
      <c r="D984" s="24"/>
    </row>
    <row r="985">
      <c r="A985" s="24"/>
      <c r="B985" s="24"/>
      <c r="C985" s="37"/>
      <c r="D985" s="24"/>
    </row>
    <row r="986">
      <c r="A986" s="24"/>
      <c r="B986" s="24"/>
      <c r="C986" s="37"/>
      <c r="D986" s="24"/>
    </row>
    <row r="987">
      <c r="A987" s="24"/>
      <c r="B987" s="24"/>
      <c r="C987" s="37"/>
      <c r="D987" s="24"/>
    </row>
    <row r="988">
      <c r="A988" s="24"/>
      <c r="B988" s="24"/>
      <c r="C988" s="37"/>
      <c r="D988" s="24"/>
    </row>
    <row r="989">
      <c r="A989" s="24"/>
      <c r="B989" s="24"/>
      <c r="C989" s="37"/>
      <c r="D989" s="24"/>
    </row>
    <row r="990">
      <c r="A990" s="24"/>
      <c r="B990" s="24"/>
      <c r="C990" s="37"/>
      <c r="D990" s="24"/>
    </row>
    <row r="991">
      <c r="A991" s="24"/>
      <c r="B991" s="24"/>
      <c r="C991" s="37"/>
      <c r="D991" s="24"/>
    </row>
    <row r="992">
      <c r="A992" s="24"/>
      <c r="B992" s="24"/>
      <c r="C992" s="37"/>
      <c r="D992" s="24"/>
    </row>
    <row r="993">
      <c r="A993" s="24"/>
      <c r="B993" s="24"/>
      <c r="C993" s="37"/>
      <c r="D993" s="24"/>
    </row>
    <row r="994">
      <c r="A994" s="24"/>
      <c r="B994" s="24"/>
      <c r="C994" s="37"/>
      <c r="D994" s="24"/>
    </row>
    <row r="995">
      <c r="A995" s="24"/>
      <c r="B995" s="24"/>
      <c r="C995" s="37"/>
      <c r="D995" s="24"/>
    </row>
    <row r="996">
      <c r="A996" s="24"/>
      <c r="B996" s="24"/>
      <c r="C996" s="37"/>
      <c r="D996" s="24"/>
    </row>
    <row r="997">
      <c r="A997" s="24"/>
      <c r="B997" s="24"/>
      <c r="C997" s="37"/>
      <c r="D997" s="24"/>
    </row>
    <row r="998">
      <c r="A998" s="24"/>
      <c r="B998" s="24"/>
      <c r="C998" s="37"/>
      <c r="D998" s="24"/>
    </row>
    <row r="999">
      <c r="A999" s="24"/>
      <c r="B999" s="24"/>
      <c r="C999" s="37"/>
      <c r="D999" s="24"/>
    </row>
    <row r="1000">
      <c r="A1000" s="24"/>
      <c r="B1000" s="24"/>
      <c r="C1000" s="37"/>
      <c r="D1000" s="24"/>
    </row>
    <row r="1001">
      <c r="A1001" s="24"/>
      <c r="B1001" s="24"/>
      <c r="C1001" s="37"/>
      <c r="D1001" s="24"/>
    </row>
    <row r="1002">
      <c r="A1002" s="24"/>
      <c r="B1002" s="24"/>
      <c r="C1002" s="37"/>
      <c r="D1002" s="24"/>
    </row>
    <row r="1003">
      <c r="A1003" s="24"/>
      <c r="B1003" s="24"/>
      <c r="C1003" s="37"/>
      <c r="D1003" s="24"/>
    </row>
    <row r="1004">
      <c r="A1004" s="24"/>
      <c r="B1004" s="24"/>
      <c r="C1004" s="37"/>
      <c r="D1004" s="24"/>
    </row>
    <row r="1005">
      <c r="A1005" s="24"/>
      <c r="B1005" s="24"/>
      <c r="C1005" s="37"/>
      <c r="D1005" s="24"/>
    </row>
    <row r="1006">
      <c r="A1006" s="24"/>
      <c r="B1006" s="24"/>
      <c r="C1006" s="37"/>
      <c r="D1006" s="24"/>
    </row>
    <row r="1007">
      <c r="A1007" s="24"/>
      <c r="B1007" s="24"/>
      <c r="C1007" s="37"/>
      <c r="D1007" s="24"/>
    </row>
    <row r="1008">
      <c r="A1008" s="24"/>
      <c r="B1008" s="24"/>
      <c r="C1008" s="37"/>
      <c r="D1008" s="24"/>
    </row>
    <row r="1009">
      <c r="A1009" s="24"/>
      <c r="B1009" s="24"/>
      <c r="C1009" s="37"/>
      <c r="D1009" s="24"/>
    </row>
    <row r="1010">
      <c r="A1010" s="24"/>
      <c r="B1010" s="24"/>
      <c r="C1010" s="37"/>
      <c r="D1010" s="24"/>
    </row>
    <row r="1011">
      <c r="A1011" s="24"/>
      <c r="B1011" s="24"/>
      <c r="C1011" s="37"/>
      <c r="D1011" s="24"/>
    </row>
    <row r="1012">
      <c r="A1012" s="24"/>
      <c r="B1012" s="24"/>
      <c r="C1012" s="37"/>
      <c r="D1012" s="24"/>
    </row>
    <row r="1013">
      <c r="A1013" s="24"/>
      <c r="B1013" s="24"/>
      <c r="C1013" s="37"/>
      <c r="D1013" s="24"/>
    </row>
    <row r="1014">
      <c r="A1014" s="24"/>
      <c r="B1014" s="24"/>
      <c r="C1014" s="37"/>
      <c r="D1014" s="24"/>
    </row>
    <row r="1015">
      <c r="A1015" s="24"/>
      <c r="B1015" s="24"/>
      <c r="C1015" s="37"/>
      <c r="D1015" s="24"/>
    </row>
  </sheetData>
  <dataValidations>
    <dataValidation type="list" allowBlank="1" sqref="E2:E13">
      <formula1>"Available,Busy,Out of office"</formula1>
    </dataValidation>
    <dataValidation type="custom" allowBlank="1" showDropDown="1" sqref="C2:C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6" width="22.63"/>
    <col customWidth="1" min="7" max="7" width="21.38"/>
    <col customWidth="1" min="8" max="8" width="20.5"/>
  </cols>
  <sheetData>
    <row r="1" ht="22.5" customHeight="1">
      <c r="A1" s="2" t="s">
        <v>352</v>
      </c>
      <c r="B1" s="2" t="s">
        <v>21</v>
      </c>
      <c r="C1" s="2" t="s">
        <v>353</v>
      </c>
      <c r="D1" s="2" t="s">
        <v>354</v>
      </c>
      <c r="E1" s="2" t="s">
        <v>355</v>
      </c>
      <c r="F1" s="2" t="s">
        <v>356</v>
      </c>
      <c r="G1" s="5" t="s">
        <v>357</v>
      </c>
      <c r="H1" s="5" t="s">
        <v>358</v>
      </c>
    </row>
    <row r="2" ht="22.5" customHeight="1">
      <c r="A2" s="8" t="s">
        <v>359</v>
      </c>
      <c r="B2" s="8" t="s">
        <v>79</v>
      </c>
      <c r="C2" s="42">
        <f t="array" ref="C2">IF(B2&lt;&gt;"", INDEX(Work_Orders[Estimated Cost], MATCH(B2, Work_Orders[Work Order ID], 0)), "")</f>
        <v>80</v>
      </c>
      <c r="D2" s="11">
        <v>46197.0</v>
      </c>
      <c r="E2" s="11">
        <f t="shared" ref="E2:E5" si="1">IF(D2&lt;&gt;"", D2 + 14, "")</f>
        <v>46211</v>
      </c>
      <c r="F2" s="10"/>
      <c r="G2" s="17" t="s">
        <v>360</v>
      </c>
      <c r="H2" s="43" t="str">
        <f t="shared" ref="H2:H3" si="2">IFS( ISBLANK(D2), "N/A", AND(E2 &lt; TODAY(), ISBLANK(F2)), "Late", AND(E2 &gt;= TODAY(), ISBLANK(F2)), "In Progress", F2&lt;&gt;"", "Completed")</f>
        <v>Late</v>
      </c>
    </row>
    <row r="3" ht="22.5" customHeight="1">
      <c r="A3" s="8" t="s">
        <v>361</v>
      </c>
      <c r="B3" s="8" t="s">
        <v>176</v>
      </c>
      <c r="C3" s="42">
        <f t="array" ref="C3">IF(B3&lt;&gt;"", INDEX(Work_Orders[Estimated Cost], MATCH(B3, Work_Orders[Work Order ID], 0)), "")</f>
        <v>120</v>
      </c>
      <c r="D3" s="11">
        <v>46174.0</v>
      </c>
      <c r="E3" s="11">
        <f t="shared" si="1"/>
        <v>46188</v>
      </c>
      <c r="F3" s="11"/>
      <c r="G3" s="17" t="s">
        <v>362</v>
      </c>
      <c r="H3" s="43" t="str">
        <f t="shared" si="2"/>
        <v>Late</v>
      </c>
    </row>
    <row r="4" ht="22.5" customHeight="1">
      <c r="A4" s="8" t="s">
        <v>363</v>
      </c>
      <c r="B4" s="8" t="s">
        <v>136</v>
      </c>
      <c r="C4" s="42">
        <f t="array" ref="C4">IF(B4&lt;&gt;"", INDEX(Work_Orders[Estimated Cost], MATCH(B4, Work_Orders[Work Order ID], 0)), "")</f>
        <v>40</v>
      </c>
      <c r="D4" s="11">
        <v>46200.0</v>
      </c>
      <c r="E4" s="11">
        <f t="shared" si="1"/>
        <v>46214</v>
      </c>
      <c r="F4" s="11">
        <v>46176.0</v>
      </c>
      <c r="G4" s="17" t="s">
        <v>360</v>
      </c>
      <c r="H4" s="17" t="s">
        <v>364</v>
      </c>
    </row>
    <row r="5" ht="22.5" customHeight="1">
      <c r="A5" s="8" t="s">
        <v>365</v>
      </c>
      <c r="B5" s="8" t="s">
        <v>187</v>
      </c>
      <c r="C5" s="42">
        <f t="array" ref="C5">IF(B5&lt;&gt;"", INDEX(Work_Orders[Estimated Cost], MATCH(B5, Work_Orders[Work Order ID], 0)), "")</f>
        <v>50</v>
      </c>
      <c r="D5" s="11">
        <v>46218.0</v>
      </c>
      <c r="E5" s="11">
        <f t="shared" si="1"/>
        <v>46232</v>
      </c>
      <c r="F5" s="10"/>
      <c r="G5" s="17" t="s">
        <v>366</v>
      </c>
      <c r="H5" s="43" t="str">
        <f>IFS( ISBLANK(D5), "N/A", AND(E5 &lt; TODAY(), ISBLANK(F5)), "Late", AND(E5 &gt;= TODAY(), ISBLANK(F5)), "In Progress", F5&lt;&gt;"", "Completed")</f>
        <v>Late</v>
      </c>
    </row>
    <row r="6" ht="22.5" customHeight="1">
      <c r="A6" s="13" t="s">
        <v>367</v>
      </c>
      <c r="B6" s="13" t="s">
        <v>192</v>
      </c>
      <c r="C6" s="13">
        <v>145.0</v>
      </c>
      <c r="D6" s="15">
        <v>46251.0</v>
      </c>
      <c r="E6" s="15">
        <v>46265.0</v>
      </c>
      <c r="F6" s="15">
        <v>46253.0</v>
      </c>
      <c r="G6" s="27" t="s">
        <v>366</v>
      </c>
      <c r="H6" s="27" t="s">
        <v>364</v>
      </c>
    </row>
    <row r="7" ht="22.5" customHeight="1">
      <c r="A7" s="13" t="s">
        <v>368</v>
      </c>
      <c r="B7" s="13" t="s">
        <v>200</v>
      </c>
      <c r="C7" s="13">
        <v>185.0</v>
      </c>
      <c r="D7" s="15">
        <v>46254.0</v>
      </c>
      <c r="E7" s="15">
        <v>46268.0</v>
      </c>
      <c r="F7" s="15">
        <v>46256.0</v>
      </c>
      <c r="G7" s="27" t="s">
        <v>360</v>
      </c>
      <c r="H7" s="27" t="s">
        <v>364</v>
      </c>
    </row>
    <row r="8" ht="22.5" customHeight="1">
      <c r="A8" s="13" t="s">
        <v>369</v>
      </c>
      <c r="B8" s="13" t="s">
        <v>204</v>
      </c>
      <c r="C8" s="13">
        <v>260.0</v>
      </c>
      <c r="D8" s="15">
        <v>46262.0</v>
      </c>
      <c r="E8" s="15">
        <v>46276.0</v>
      </c>
      <c r="F8" s="15">
        <v>46266.0</v>
      </c>
      <c r="G8" s="27" t="s">
        <v>366</v>
      </c>
      <c r="H8" s="27" t="s">
        <v>364</v>
      </c>
    </row>
    <row r="9" ht="22.5" customHeight="1">
      <c r="A9" s="13" t="s">
        <v>370</v>
      </c>
      <c r="B9" s="13" t="s">
        <v>216</v>
      </c>
      <c r="C9" s="13">
        <v>210.0</v>
      </c>
      <c r="D9" s="15">
        <v>46265.0</v>
      </c>
      <c r="E9" s="15">
        <v>46279.0</v>
      </c>
      <c r="F9" s="15">
        <v>46267.0</v>
      </c>
      <c r="G9" s="27" t="s">
        <v>360</v>
      </c>
      <c r="H9" s="27" t="s">
        <v>364</v>
      </c>
    </row>
    <row r="10" ht="22.5" customHeight="1">
      <c r="A10" s="13" t="s">
        <v>371</v>
      </c>
      <c r="B10" s="13" t="s">
        <v>234</v>
      </c>
      <c r="C10" s="13">
        <v>390.0</v>
      </c>
      <c r="D10" s="15">
        <v>46268.0</v>
      </c>
      <c r="E10" s="15">
        <v>46282.0</v>
      </c>
      <c r="F10" s="15">
        <v>46269.0</v>
      </c>
      <c r="G10" s="27" t="s">
        <v>366</v>
      </c>
      <c r="H10" s="27" t="s">
        <v>364</v>
      </c>
    </row>
    <row r="11" ht="22.5" customHeight="1">
      <c r="A11" s="13" t="s">
        <v>372</v>
      </c>
      <c r="B11" s="13" t="s">
        <v>301</v>
      </c>
      <c r="C11" s="13">
        <v>135.0</v>
      </c>
      <c r="D11" s="15">
        <v>46256.0</v>
      </c>
      <c r="E11" s="15">
        <v>46270.0</v>
      </c>
      <c r="F11" s="15">
        <v>46259.0</v>
      </c>
      <c r="G11" s="27" t="s">
        <v>362</v>
      </c>
      <c r="H11" s="27" t="s">
        <v>364</v>
      </c>
    </row>
    <row r="12" ht="22.5" customHeight="1">
      <c r="A12" s="13" t="s">
        <v>373</v>
      </c>
      <c r="B12" s="13" t="s">
        <v>224</v>
      </c>
      <c r="C12" s="13">
        <v>125.0</v>
      </c>
      <c r="D12" s="15">
        <v>46267.0</v>
      </c>
      <c r="E12" s="15">
        <v>46281.0</v>
      </c>
      <c r="F12" s="35"/>
      <c r="G12" s="44"/>
      <c r="H12" s="27" t="s">
        <v>196</v>
      </c>
    </row>
    <row r="13" ht="22.5" customHeight="1">
      <c r="A13" s="13" t="s">
        <v>374</v>
      </c>
      <c r="B13" s="13" t="s">
        <v>246</v>
      </c>
      <c r="C13" s="13">
        <v>230.0</v>
      </c>
      <c r="D13" s="15">
        <v>46269.0</v>
      </c>
      <c r="E13" s="15">
        <v>46283.0</v>
      </c>
      <c r="F13" s="35"/>
      <c r="G13" s="44"/>
      <c r="H13" s="27" t="s">
        <v>196</v>
      </c>
    </row>
    <row r="14" ht="22.5" customHeight="1">
      <c r="A14" s="13" t="s">
        <v>375</v>
      </c>
      <c r="B14" s="13" t="s">
        <v>255</v>
      </c>
      <c r="C14" s="13">
        <v>175.0</v>
      </c>
      <c r="D14" s="15">
        <v>46271.0</v>
      </c>
      <c r="E14" s="15">
        <v>46285.0</v>
      </c>
      <c r="F14" s="35"/>
      <c r="G14" s="44"/>
      <c r="H14" s="27" t="s">
        <v>196</v>
      </c>
    </row>
    <row r="15" ht="22.5" customHeight="1">
      <c r="A15" s="13" t="s">
        <v>376</v>
      </c>
      <c r="B15" s="13" t="s">
        <v>306</v>
      </c>
      <c r="C15" s="13">
        <v>195.0</v>
      </c>
      <c r="D15" s="15">
        <v>46261.0</v>
      </c>
      <c r="E15" s="15">
        <v>46267.0</v>
      </c>
      <c r="F15" s="35"/>
      <c r="G15" s="44"/>
      <c r="H15" s="27" t="s">
        <v>377</v>
      </c>
    </row>
    <row r="16" ht="22.5" customHeight="1">
      <c r="A16" s="13" t="s">
        <v>378</v>
      </c>
      <c r="B16" s="13" t="s">
        <v>204</v>
      </c>
      <c r="C16" s="13">
        <v>75.0</v>
      </c>
      <c r="D16" s="15">
        <v>46249.0</v>
      </c>
      <c r="E16" s="15">
        <v>46263.0</v>
      </c>
      <c r="F16" s="35"/>
      <c r="G16" s="44"/>
      <c r="H16" s="27" t="s">
        <v>377</v>
      </c>
    </row>
    <row r="17" ht="22.5" customHeight="1">
      <c r="A17" s="13" t="s">
        <v>379</v>
      </c>
      <c r="B17" s="13" t="s">
        <v>301</v>
      </c>
      <c r="C17" s="13">
        <v>95.0</v>
      </c>
      <c r="D17" s="15">
        <v>46246.0</v>
      </c>
      <c r="E17" s="15">
        <v>46260.0</v>
      </c>
      <c r="F17" s="35"/>
      <c r="G17" s="44"/>
      <c r="H17" s="27" t="s">
        <v>377</v>
      </c>
    </row>
    <row r="18" ht="22.5" customHeight="1">
      <c r="A18" s="13" t="s">
        <v>380</v>
      </c>
      <c r="B18" s="13" t="s">
        <v>267</v>
      </c>
      <c r="C18" s="13">
        <v>320.0</v>
      </c>
      <c r="D18" s="15">
        <v>46271.0</v>
      </c>
      <c r="E18" s="15">
        <v>46285.0</v>
      </c>
      <c r="F18" s="15">
        <v>46271.0</v>
      </c>
      <c r="G18" s="27" t="s">
        <v>360</v>
      </c>
      <c r="H18" s="27" t="s">
        <v>364</v>
      </c>
    </row>
    <row r="19" ht="22.5" customHeight="1">
      <c r="A19" s="13" t="s">
        <v>381</v>
      </c>
      <c r="B19" s="13" t="s">
        <v>347</v>
      </c>
      <c r="C19" s="13">
        <v>155.0</v>
      </c>
      <c r="D19" s="15">
        <v>46271.0</v>
      </c>
      <c r="E19" s="15">
        <v>46285.0</v>
      </c>
      <c r="F19" s="15">
        <v>46271.0</v>
      </c>
      <c r="G19" s="27" t="s">
        <v>366</v>
      </c>
      <c r="H19" s="27" t="s">
        <v>364</v>
      </c>
    </row>
    <row r="20" ht="22.5" customHeight="1">
      <c r="A20" s="8"/>
      <c r="B20" s="8"/>
      <c r="C20" s="45" t="str">
        <f t="array" ref="C20">IF(B20&lt;&gt;"", INDEX(Work_Orders[Estimated Cost], MATCH(B20, Work_Orders[Work Order ID], 0)), "")</f>
        <v/>
      </c>
      <c r="D20" s="11"/>
      <c r="E20" s="11" t="str">
        <f>IF(D20&lt;&gt;"", D20 + 14, "")</f>
        <v/>
      </c>
      <c r="F20" s="10"/>
      <c r="G20" s="17"/>
      <c r="H20" s="43" t="str">
        <f>IFS( ISBLANK(D20), "N/A", AND(E20 &lt; TODAY(), ISBLANK(F20)), "Late", AND(E20 &gt;= TODAY(), ISBLANK(F20)), "In Progress", F20&lt;&gt;"", "Completed")</f>
        <v>N/A</v>
      </c>
    </row>
  </sheetData>
  <dataValidations>
    <dataValidation type="custom" allowBlank="1" showDropDown="1" sqref="D2:F20">
      <formula1>OR(NOT(ISERROR(DATEVALUE(D2))), AND(ISNUMBER(D2), LEFT(CELL("format", D2))="D"))</formula1>
    </dataValidation>
    <dataValidation type="list" allowBlank="1" sqref="H2:H20">
      <formula1>"Paid,Late,In Progress,N/A"</formula1>
    </dataValidation>
    <dataValidation type="list" allowBlank="1" sqref="G2:G20">
      <formula1>"Debit,Credit,Cash"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tr">
        <f t="array" ref="A1:A13">{Employees[Employee ID]; "Unassigned"}</f>
        <v>EP001</v>
      </c>
    </row>
    <row r="2">
      <c r="A2" s="46" t="s">
        <v>228</v>
      </c>
    </row>
    <row r="3">
      <c r="A3" s="46" t="s">
        <v>242</v>
      </c>
    </row>
    <row r="4">
      <c r="A4" s="46" t="s">
        <v>158</v>
      </c>
    </row>
    <row r="5">
      <c r="A5" s="46" t="s">
        <v>256</v>
      </c>
    </row>
    <row r="6">
      <c r="A6" s="46" t="s">
        <v>207</v>
      </c>
    </row>
    <row r="7">
      <c r="A7" s="46" t="s">
        <v>270</v>
      </c>
    </row>
    <row r="8">
      <c r="A8" s="46" t="s">
        <v>284</v>
      </c>
    </row>
    <row r="9">
      <c r="A9" s="46" t="s">
        <v>324</v>
      </c>
    </row>
    <row r="10">
      <c r="A10" s="46" t="s">
        <v>328</v>
      </c>
    </row>
    <row r="11">
      <c r="A11" s="46" t="s">
        <v>331</v>
      </c>
    </row>
    <row r="12">
      <c r="A12" s="46" t="s">
        <v>334</v>
      </c>
    </row>
    <row r="13">
      <c r="A13" s="46" t="s">
        <v>83</v>
      </c>
    </row>
  </sheetData>
  <drawing r:id="rId1"/>
</worksheet>
</file>